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anthony/Downloads/"/>
    </mc:Choice>
  </mc:AlternateContent>
  <xr:revisionPtr revIDLastSave="0" documentId="8_{24B202F0-A91B-2643-B211-557DB4BD906F}" xr6:coauthVersionLast="47" xr6:coauthVersionMax="47" xr10:uidLastSave="{00000000-0000-0000-0000-000000000000}"/>
  <bookViews>
    <workbookView xWindow="0" yWindow="700" windowWidth="30220" windowHeight="19000" xr2:uid="{00000000-000D-0000-FFFF-FFFF00000000}"/>
  </bookViews>
  <sheets>
    <sheet name="A&amp;S" sheetId="1" r:id="rId1"/>
    <sheet name="S&amp;DS Major BS" sheetId="7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2" i="1" l="1"/>
  <c r="F41" i="1"/>
  <c r="F52" i="1"/>
  <c r="B32" i="1" s="1"/>
  <c r="B33" i="1" s="1" a="1"/>
  <c r="B33" i="1" s="1"/>
  <c r="F53" i="1" s="1"/>
  <c r="F170" i="1"/>
  <c r="F167" i="1"/>
  <c r="E16" i="1"/>
  <c r="F161" i="1" s="1"/>
  <c r="F160" i="1"/>
  <c r="F157" i="1"/>
  <c r="F156" i="1"/>
  <c r="F141" i="1"/>
  <c r="F142" i="1"/>
  <c r="F127" i="1"/>
  <c r="F128" i="1"/>
  <c r="F124" i="1"/>
  <c r="B61" i="1" s="1"/>
  <c r="B62" i="1" s="1" a="1"/>
  <c r="B62" i="1" s="1"/>
  <c r="F123" i="1"/>
  <c r="F90" i="1"/>
  <c r="F91" i="1"/>
  <c r="F79" i="1"/>
  <c r="F80" i="1"/>
  <c r="E13" i="1"/>
  <c r="F125" i="1" s="1"/>
  <c r="E21" i="1"/>
  <c r="F143" i="1" s="1"/>
  <c r="E25" i="1"/>
  <c r="F158" i="1" s="1"/>
  <c r="E29" i="1"/>
  <c r="F81" i="1" s="1"/>
  <c r="E9" i="1"/>
  <c r="F92" i="1" s="1"/>
  <c r="E5" i="1"/>
  <c r="F129" i="1" s="1"/>
  <c r="F95" i="1"/>
  <c r="F169" i="1" s="1"/>
  <c r="F61" i="1"/>
  <c r="B47" i="1" s="1"/>
  <c r="B48" i="1" s="1" a="1"/>
  <c r="B48" i="1" s="1"/>
  <c r="B18" i="1"/>
  <c r="B19" i="1" s="1" a="1"/>
  <c r="B19" i="1" s="1"/>
  <c r="F43" i="1" s="1"/>
  <c r="B66" i="1" a="1"/>
  <c r="B66" i="1" s="1"/>
  <c r="B54" i="1" a="1"/>
  <c r="B54" i="1" s="1"/>
  <c r="B44" i="1" a="1"/>
  <c r="B44" i="1" s="1"/>
  <c r="B29" i="1" a="1"/>
  <c r="B29" i="1" s="1"/>
  <c r="B25" i="1" a="1"/>
  <c r="B25" i="1" s="1"/>
  <c r="B15" i="1" a="1"/>
  <c r="B15" i="1" s="1"/>
  <c r="B11" i="1" a="1"/>
  <c r="B11" i="1" s="1"/>
  <c r="B7" i="1" a="1"/>
  <c r="B7" i="1" s="1"/>
  <c r="F54" i="1" l="1"/>
  <c r="F171" i="1"/>
  <c r="B57" i="1"/>
  <c r="B58" i="1" s="1" a="1"/>
  <c r="B58" i="1" s="1"/>
  <c r="E17" i="1"/>
  <c r="F162" i="1" s="1"/>
  <c r="F62" i="1"/>
  <c r="F6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<sst xmlns="http://schemas.openxmlformats.org/spreadsheetml/2006/main" count="396" uniqueCount="269">
  <si>
    <t>A&amp;S GE Skills Requirements</t>
  </si>
  <si>
    <t>World Language Hours Required</t>
  </si>
  <si>
    <t>World Language Hours Completed</t>
  </si>
  <si>
    <t>World Language Hours Remaining</t>
  </si>
  <si>
    <t>QRMS Hours Required</t>
  </si>
  <si>
    <t>QRMS Hours Completed</t>
  </si>
  <si>
    <t>QRMS Hours Remaining</t>
  </si>
  <si>
    <t>Written Comm. LD Hours Required</t>
  </si>
  <si>
    <t>Written Comm. LD Hours Completed</t>
  </si>
  <si>
    <t>Written Comm. LD Hours Remaining</t>
  </si>
  <si>
    <t>Written Comm. UD Hours Required</t>
  </si>
  <si>
    <t>Written Comm. UD Hours Completed</t>
  </si>
  <si>
    <t>Written Comm. UD Hours Remaining</t>
  </si>
  <si>
    <t>A&amp;S GE Distribution Requirements</t>
  </si>
  <si>
    <t>Arts &amp; Humanities Hours Required</t>
  </si>
  <si>
    <t>Arts &amp; Humanities Hours Completed</t>
  </si>
  <si>
    <t>Arts &amp; Humanities Hours Remaining</t>
  </si>
  <si>
    <t>Social Sciences Hours Required</t>
  </si>
  <si>
    <t>Social Sciences Hours Completed</t>
  </si>
  <si>
    <t>Social Sciences Hours Remaining</t>
  </si>
  <si>
    <t>Natural Sciences Hours Required</t>
  </si>
  <si>
    <t>Natural Sciences Hours Completed</t>
  </si>
  <si>
    <t>Natural Sciences Hours Remaining</t>
  </si>
  <si>
    <t>A&amp;S Gen Ed. NS Lab Requirement</t>
  </si>
  <si>
    <t>Natural Sciences Lab Required</t>
  </si>
  <si>
    <t>Natural Sciences Lab Completed</t>
  </si>
  <si>
    <t>Natural Sciences Lab Remaining</t>
  </si>
  <si>
    <t>A&amp;S Gen Ed. Diversity Requirements</t>
  </si>
  <si>
    <t>U.S. Perspective Hours Required</t>
  </si>
  <si>
    <t>U.S. Perspective Hours Completed</t>
  </si>
  <si>
    <t>U.S. Perspective Hours Remaining</t>
  </si>
  <si>
    <t>Global Perspective Hours Required</t>
  </si>
  <si>
    <t>Global Perspective Hours Completed</t>
  </si>
  <si>
    <t>Global Perspective Hours Remaining</t>
  </si>
  <si>
    <t xml:space="preserve">A&amp;S Overall Hours Requirements </t>
  </si>
  <si>
    <t>Total Hours Required</t>
  </si>
  <si>
    <t>Hours Completed</t>
  </si>
  <si>
    <t>Total Hours Remaining</t>
  </si>
  <si>
    <t>Upper Division Hours Required</t>
  </si>
  <si>
    <t>Completed Upper Division</t>
  </si>
  <si>
    <t>Upper Division Remaining</t>
  </si>
  <si>
    <t>A&amp;S Upper Division Required</t>
  </si>
  <si>
    <t>A&amp;S Upper Division Completed</t>
  </si>
  <si>
    <t>A&amp;S Upper Division Remaining</t>
  </si>
  <si>
    <t>A&amp;S Total Hours Required</t>
  </si>
  <si>
    <t>A&amp;S Total Hours Completed</t>
  </si>
  <si>
    <t>A&amp;S Total Hours Remaining</t>
  </si>
  <si>
    <t>Major Courses</t>
  </si>
  <si>
    <t>STAT 2600</t>
  </si>
  <si>
    <t>Introduction to Data Science</t>
  </si>
  <si>
    <t>Calculus 3 for Statistics and Data Science</t>
  </si>
  <si>
    <t>Matrix Methods and Applications</t>
  </si>
  <si>
    <t>Applied Probability</t>
  </si>
  <si>
    <t>Intro to Mathematical Statistics</t>
  </si>
  <si>
    <t>Statistical Learning</t>
  </si>
  <si>
    <t>Capstone in Statistics and Data Science</t>
  </si>
  <si>
    <t>Markov Processes, Queues, and Monte Carlo Simulations</t>
  </si>
  <si>
    <t>Major Course Hours Required</t>
  </si>
  <si>
    <t>Pre Reqs (1)</t>
  </si>
  <si>
    <t>Major Course Hours Completed</t>
  </si>
  <si>
    <t>Major Course Hours Remaining</t>
  </si>
  <si>
    <t>STAT 3100</t>
  </si>
  <si>
    <t>Calculus 3 for Engineers</t>
  </si>
  <si>
    <t>Statistics and Data Science Collaboration</t>
  </si>
  <si>
    <t>Data Assimilation in High Dimensional Dynamical Systems</t>
  </si>
  <si>
    <t>Pre Reqs (2)</t>
  </si>
  <si>
    <t>APPM 3310</t>
  </si>
  <si>
    <t>AND</t>
  </si>
  <si>
    <t>STAT 4520</t>
  </si>
  <si>
    <t>STAT 4350</t>
  </si>
  <si>
    <t>Applied Deep Learning</t>
  </si>
  <si>
    <t>Pre Reqs (3)</t>
  </si>
  <si>
    <t>STAT 3400</t>
  </si>
  <si>
    <t>STAT 4360</t>
  </si>
  <si>
    <t>Applied Deep Learning 2</t>
  </si>
  <si>
    <t>APPM 3650</t>
  </si>
  <si>
    <t>Algorithms and Data Structures in Python</t>
  </si>
  <si>
    <t>APPM 1650</t>
  </si>
  <si>
    <t>Computational Neuroscience</t>
  </si>
  <si>
    <t>High-Dimensional Probability for Data Science</t>
  </si>
  <si>
    <t>Stochastic Analysis for Finance</t>
  </si>
  <si>
    <t>Advanced Statistical Modeling</t>
  </si>
  <si>
    <t>Spatial Statistics</t>
  </si>
  <si>
    <t>Introduction to Time Series</t>
  </si>
  <si>
    <t>Computational Bayesian Statistics</t>
  </si>
  <si>
    <t>Philosophical and Ethical Issues in Statistics</t>
  </si>
  <si>
    <t>Theory of Machine Learning</t>
  </si>
  <si>
    <t>Random Graphs</t>
  </si>
  <si>
    <t>Calculus 1</t>
  </si>
  <si>
    <t>MATH 1150</t>
  </si>
  <si>
    <t>College Algebra</t>
  </si>
  <si>
    <t>Precalculus Mathematics</t>
  </si>
  <si>
    <t>Pre-Calculus for Engineers</t>
  </si>
  <si>
    <t>Calculus 1 w/ Algebra, Part B</t>
  </si>
  <si>
    <t>STAT 2600 (4)</t>
  </si>
  <si>
    <t>MATH 1300 (5)</t>
  </si>
  <si>
    <t>MATH 1011 (3)</t>
  </si>
  <si>
    <t>MATH 1150 (4)</t>
  </si>
  <si>
    <t>APPM 1235 (4)</t>
  </si>
  <si>
    <t>APPM 1345 (4)</t>
  </si>
  <si>
    <t>APPM 1350 (4)</t>
  </si>
  <si>
    <t>MATH 1151 (1)</t>
  </si>
  <si>
    <t>ARTS &amp; SCIENCE</t>
  </si>
  <si>
    <t>APPM 2340 (4)</t>
  </si>
  <si>
    <t>APPM 2350 (4)</t>
  </si>
  <si>
    <t>Calculus 3</t>
  </si>
  <si>
    <t>APPM 1360 (4)</t>
  </si>
  <si>
    <t>Calculus 2 for Engineers</t>
  </si>
  <si>
    <t>MATH 2300 (5)</t>
  </si>
  <si>
    <t>Calculus 2</t>
  </si>
  <si>
    <t xml:space="preserve"> Matrix Methods and Applications</t>
  </si>
  <si>
    <t>APPM 3310 (3)</t>
  </si>
  <si>
    <t>Introduction to Differential Equations w/ Linear Algebra</t>
  </si>
  <si>
    <t>Calculus 1 for Engineers</t>
  </si>
  <si>
    <t>APPM 2360 (4)</t>
  </si>
  <si>
    <t>MATH 2400 (5)</t>
  </si>
  <si>
    <t xml:space="preserve">STAT 3100 (3) </t>
  </si>
  <si>
    <t>APPM 3570 (3)</t>
  </si>
  <si>
    <t>STAT 4520 (3)</t>
  </si>
  <si>
    <t>MATH 4510 (3)</t>
  </si>
  <si>
    <t>STAT 3400 (3)</t>
  </si>
  <si>
    <t>Applied Regression</t>
  </si>
  <si>
    <t>STAT 4610 (3)</t>
  </si>
  <si>
    <t>STAT 4640 (3)</t>
  </si>
  <si>
    <t>STAT 4680 (3)</t>
  </si>
  <si>
    <t>STAT 4400 (3)</t>
  </si>
  <si>
    <t>STAT 4100 (3)</t>
  </si>
  <si>
    <t>STAT 4350 (3)</t>
  </si>
  <si>
    <t>STAT 4360 (3)</t>
  </si>
  <si>
    <t>APPM 3650 (3)</t>
  </si>
  <si>
    <t>APPM 4370 (3)</t>
  </si>
  <si>
    <t>APPM 4515 (3)</t>
  </si>
  <si>
    <t>APPM 4530 (3)</t>
  </si>
  <si>
    <t>STAT 4430 (3)</t>
  </si>
  <si>
    <t>STAT 4540 (3)</t>
  </si>
  <si>
    <t>STAT 4630 (3)</t>
  </si>
  <si>
    <t>STAT 4700 (3)</t>
  </si>
  <si>
    <t>APPM 4490 (3)</t>
  </si>
  <si>
    <t>APPM 4565 (3)</t>
  </si>
  <si>
    <t>Recommended Reqs</t>
  </si>
  <si>
    <t>APPM 1650 (4)</t>
  </si>
  <si>
    <t>Python for Math and Data Science</t>
  </si>
  <si>
    <t>APPM 4560 (3)</t>
  </si>
  <si>
    <t>Markoc Processes, Queues, and Monte Carlo Simulations</t>
  </si>
  <si>
    <t>APPM 4440 (3)</t>
  </si>
  <si>
    <t>Undergraduate Applied Analysis 1</t>
  </si>
  <si>
    <t>Introduction to Mathematical Statistics</t>
  </si>
  <si>
    <t>Applied Deep Learning 1</t>
  </si>
  <si>
    <t>STAT 5010 (3)</t>
  </si>
  <si>
    <t>Statistical Methods and Applications 2</t>
  </si>
  <si>
    <t>Machine Learning</t>
  </si>
  <si>
    <t xml:space="preserve">CLASS LIST </t>
  </si>
  <si>
    <t>Class Name</t>
  </si>
  <si>
    <t>Class Number</t>
  </si>
  <si>
    <t>Credit Hours</t>
  </si>
  <si>
    <t>Writing in the Age of AI</t>
  </si>
  <si>
    <t>Written Communications Upper Division Hours</t>
  </si>
  <si>
    <t>Natural Sciences w/ Lab</t>
  </si>
  <si>
    <t>Our Changing Planet: Landscapes and Water/ Lab</t>
  </si>
  <si>
    <t>GEOG 1011</t>
  </si>
  <si>
    <t>ENGL 3016</t>
  </si>
  <si>
    <t>Global Perspective</t>
  </si>
  <si>
    <t>Remaining</t>
  </si>
  <si>
    <t>Yes</t>
  </si>
  <si>
    <t xml:space="preserve">Statistics and Data Science Major </t>
  </si>
  <si>
    <t>Prerequisite Courses</t>
  </si>
  <si>
    <t>Lower Division</t>
  </si>
  <si>
    <t>Upper Division</t>
  </si>
  <si>
    <t>STAT 4610</t>
  </si>
  <si>
    <t>STAT 4640</t>
  </si>
  <si>
    <t>Major Upper Division Hours Required</t>
  </si>
  <si>
    <t>Major Upper Division Hours Completed</t>
  </si>
  <si>
    <t>Major Upper Division Hours Needed</t>
  </si>
  <si>
    <t>Computer Science 1: Starting Computing</t>
  </si>
  <si>
    <t>CSCI 1300</t>
  </si>
  <si>
    <t>Computer Science 2: Data Structures</t>
  </si>
  <si>
    <t>CSCI 2270</t>
  </si>
  <si>
    <t>Discrete Structures</t>
  </si>
  <si>
    <t>CSCI 2824</t>
  </si>
  <si>
    <t xml:space="preserve">Calculus 2 </t>
  </si>
  <si>
    <t>Introduction to Dynamics on Networks</t>
  </si>
  <si>
    <t>CSCI 4622 (3)</t>
  </si>
  <si>
    <t>APPM 4120 (3)</t>
  </si>
  <si>
    <t>Introduction to Operations Research</t>
  </si>
  <si>
    <t>APPM 4320 (3)</t>
  </si>
  <si>
    <t>APPM 4450 (3)</t>
  </si>
  <si>
    <t>Undergraduate Applied Analysis 2</t>
  </si>
  <si>
    <t>Numerical Methods and Scientific Computing</t>
  </si>
  <si>
    <t>APPM 4600 (4)</t>
  </si>
  <si>
    <t>Co Reqs (1)</t>
  </si>
  <si>
    <t>Co Reqs (10</t>
  </si>
  <si>
    <t>CSCI 5622</t>
  </si>
  <si>
    <t>Introduction to Differential Equations with Linear Algebra</t>
  </si>
  <si>
    <t xml:space="preserve">APPM 2350 (4) </t>
  </si>
  <si>
    <t xml:space="preserve">Introduction to Probability Theory </t>
  </si>
  <si>
    <t>Co/Pre Reqs (1)</t>
  </si>
  <si>
    <t xml:space="preserve">Calculus 3 </t>
  </si>
  <si>
    <t>STAT 4400</t>
  </si>
  <si>
    <t>STAT 4100</t>
  </si>
  <si>
    <t>APPM 4490</t>
  </si>
  <si>
    <t>Required</t>
  </si>
  <si>
    <t>APPM 2400 (5)</t>
  </si>
  <si>
    <t>Precalculs Supplemental Lab</t>
  </si>
  <si>
    <t xml:space="preserve">Calculus 1 </t>
  </si>
  <si>
    <t>APPM 2350</t>
  </si>
  <si>
    <t>Major Ancillary Courses (* Pre-req for other courses)</t>
  </si>
  <si>
    <t>Numerical Methods and Scientific Computing *</t>
  </si>
  <si>
    <t>Introduction to Differential Equations w/ Linear Algebra *</t>
  </si>
  <si>
    <t>Pre-Calculus Mathematics</t>
  </si>
  <si>
    <r>
      <rPr>
        <b/>
        <u/>
        <sz val="10"/>
        <color rgb="FF000000"/>
        <rFont val="Helvetica Neue"/>
        <family val="2"/>
      </rPr>
      <t>STAT 4250</t>
    </r>
    <r>
      <rPr>
        <b/>
        <sz val="10"/>
        <color indexed="8"/>
        <rFont val="Helvetica Neue"/>
        <family val="2"/>
      </rPr>
      <t xml:space="preserve"> (3)</t>
    </r>
  </si>
  <si>
    <t>APPM 2350  (4)</t>
  </si>
  <si>
    <t>ELECTIVES</t>
  </si>
  <si>
    <t>MATH 1300</t>
  </si>
  <si>
    <t>Geographies of Global Change</t>
  </si>
  <si>
    <t>GEOG 1962</t>
  </si>
  <si>
    <t>MATH 2300</t>
  </si>
  <si>
    <t>CSCI 2400</t>
  </si>
  <si>
    <t>Computer Systems</t>
  </si>
  <si>
    <t>Algorithms</t>
  </si>
  <si>
    <t>CSCI 3104</t>
  </si>
  <si>
    <t>Undergraduate Applied Analysis*</t>
  </si>
  <si>
    <t>CSCI 4622</t>
  </si>
  <si>
    <t>ANCILLARY REQUIREMENTS</t>
  </si>
  <si>
    <t>Possible Prerequisite Cources</t>
  </si>
  <si>
    <t>APPM 4600 (STAT 4350)</t>
  </si>
  <si>
    <t>ANCILLARY ELECTIVES / CS Minor</t>
  </si>
  <si>
    <t xml:space="preserve">STATISTICS AND DATA SCIENCE BS </t>
  </si>
  <si>
    <t>Ancillary Required Hours Required</t>
  </si>
  <si>
    <t>Ancillary Required Hours Completed</t>
  </si>
  <si>
    <t>Ancillary Required Hours Needed</t>
  </si>
  <si>
    <t>Hours Priors to Returning</t>
  </si>
  <si>
    <t>Hours Prior to Returning</t>
  </si>
  <si>
    <t>Major Lower Division Hours Required</t>
  </si>
  <si>
    <t>Major Lower Division Hours Completed</t>
  </si>
  <si>
    <t>Major Lower Division Hours Needed</t>
  </si>
  <si>
    <t>Upper Division In-Progress / Completed</t>
  </si>
  <si>
    <t>Major In-Progress / Completed</t>
  </si>
  <si>
    <t>Ancillary Required In-Progress / Completed</t>
  </si>
  <si>
    <t>Pre Reqs Completed</t>
  </si>
  <si>
    <t>Pre Reqs Remaining</t>
  </si>
  <si>
    <t>Pre Reqs Required</t>
  </si>
  <si>
    <t>In Progress / Completed</t>
  </si>
  <si>
    <t>Lower Division In Progress / Completed</t>
  </si>
  <si>
    <t>Reqruired</t>
  </si>
  <si>
    <t>Ancillary Electives &amp; CS Minor In-Progress / Completed</t>
  </si>
  <si>
    <t>Ancillary Electives &amp; CS Minor Hours Required</t>
  </si>
  <si>
    <t>Ancillary Electives &amp; CS Minor Hours Needed</t>
  </si>
  <si>
    <t>Ancillary Electives &amp; CS Min. Hours Completed</t>
  </si>
  <si>
    <t>APPM 2360 (APPM 4400)</t>
  </si>
  <si>
    <t>APPM 4440 (APPM 4490)</t>
  </si>
  <si>
    <t>Stat &amp; Ancillary Hours Completed</t>
  </si>
  <si>
    <t>Stat &amp; Ancillary Hours Required</t>
  </si>
  <si>
    <t>Stat &amp; Ancillary Hours Needed</t>
  </si>
  <si>
    <t>Stat &amp; Ancillary l In-Progress / Completed</t>
  </si>
  <si>
    <t>TOTAL COURSES COMPLETED</t>
  </si>
  <si>
    <t>TOTAL COURSES REQUIRED</t>
  </si>
  <si>
    <t>TOTAL COURSES REMAINING</t>
  </si>
  <si>
    <t>TOTAL HOURS REQUIRED</t>
  </si>
  <si>
    <t>TOTAL HOURS COMPLETED</t>
  </si>
  <si>
    <t>TOTAL HOURS REMAINING</t>
  </si>
  <si>
    <t>IN PROGRESS COURSES</t>
  </si>
  <si>
    <t>SUMMER 2026 COURSES</t>
  </si>
  <si>
    <t>Python for Math &amp; Data Science</t>
  </si>
  <si>
    <t>FALL 2026 COURSES (5)</t>
  </si>
  <si>
    <t>SPRING 2027 COURSES (4)</t>
  </si>
  <si>
    <t>SPRING 2028 COURSES (5)</t>
  </si>
  <si>
    <t>FALL 2027 COURSES (4)</t>
  </si>
  <si>
    <t>SUMMER 2027 COURSES (3)</t>
  </si>
  <si>
    <t>CARRYOVER COURSES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</si>
</sst>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  <font>
      <strike/>
      <sz val="10"/>
      <color indexed="8"/>
      <name val="Helvetica Neue"/>
      <family val="2"/>
    </font>
    <font>
      <sz val="10"/>
      <color indexed="8"/>
      <name val="Helvetica Neue"/>
      <family val="2"/>
    </font>
    <font>
      <b/>
      <sz val="10"/>
      <color rgb="FF000000"/>
      <name val="Helvetica Neue"/>
      <family val="2"/>
    </font>
    <font>
      <i/>
      <sz val="10"/>
      <color indexed="8"/>
      <name val="Helvetica Neue"/>
      <family val="2"/>
    </font>
    <font>
      <sz val="10"/>
      <color rgb="FF000000"/>
      <name val="Helvetica Neue"/>
      <family val="2"/>
    </font>
    <font>
      <b/>
      <strike/>
      <sz val="10"/>
      <color indexed="8"/>
      <name val="Helvetica Neue"/>
      <family val="2"/>
    </font>
    <font>
      <sz val="14"/>
      <color indexed="8"/>
      <name val="Helvetica Neue"/>
      <family val="2"/>
    </font>
    <font>
      <b/>
      <sz val="14"/>
      <color rgb="FF000000"/>
      <name val="Helvetica Neue"/>
      <family val="2"/>
    </font>
    <font>
      <b/>
      <sz val="14"/>
      <color indexed="8"/>
      <name val="Helvetica Neue"/>
      <family val="2"/>
    </font>
    <font>
      <b/>
      <sz val="16"/>
      <color indexed="8"/>
      <name val="Helvetica Neue"/>
      <family val="2"/>
    </font>
    <font>
      <b/>
      <u val="double"/>
      <sz val="10"/>
      <color indexed="8"/>
      <name val="Helvetica Neue"/>
      <family val="2"/>
    </font>
    <font>
      <b/>
      <u val="double"/>
      <sz val="10"/>
      <color rgb="FF000000"/>
      <name val="Helvetica Neue"/>
      <family val="2"/>
    </font>
    <font>
      <strike/>
      <sz val="10"/>
      <color rgb="FF000000"/>
      <name val="Helvetica Neue"/>
      <family val="2"/>
    </font>
    <font>
      <b/>
      <strike/>
      <sz val="10"/>
      <color rgb="FF000000"/>
      <name val="Helvetica Neue"/>
      <family val="2"/>
    </font>
    <font>
      <b/>
      <u/>
      <sz val="10"/>
      <color rgb="FF000000"/>
      <name val="Helvetica Neue"/>
      <family val="2"/>
    </font>
    <font>
      <sz val="14"/>
      <color rgb="FFFF0000"/>
      <name val="Helvetica Neue"/>
      <family val="2"/>
    </font>
    <font>
      <sz val="14"/>
      <name val="Helvetica Neue"/>
      <family val="2"/>
    </font>
  </fonts>
  <fills count="30">
    <fill>
      <patternFill patternType="none"/>
    </fill>
    <fill>
      <patternFill patternType="gray125"/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9.9948118533890809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BDBDB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0FFF00"/>
        <bgColor indexed="64"/>
      </patternFill>
    </fill>
    <fill>
      <patternFill patternType="solid">
        <fgColor theme="2" tint="-9.9948118533890809E-2"/>
        <bgColor rgb="FF000000"/>
      </patternFill>
    </fill>
    <fill>
      <patternFill patternType="solid">
        <fgColor theme="3" tint="0.79998168889431442"/>
        <bgColor rgb="FF000000"/>
      </patternFill>
    </fill>
    <fill>
      <patternFill patternType="solid">
        <fgColor theme="6" tint="0.79998168889431442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FFF00"/>
        <bgColor rgb="FF000000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C1CFFF"/>
        <bgColor indexed="64"/>
      </patternFill>
    </fill>
    <fill>
      <patternFill patternType="solid">
        <fgColor rgb="FFDBDBDB"/>
        <bgColor indexed="64"/>
      </patternFill>
    </fill>
  </fills>
  <borders count="34">
    <border>
      <left/>
      <right/>
      <top/>
      <bottom/>
      <diagonal/>
    </border>
    <border>
      <left style="thin">
        <color theme="3" tint="0.79998168889431442"/>
      </left>
      <right style="thin">
        <color theme="3" tint="0.79998168889431442"/>
      </right>
      <top style="thin">
        <color theme="3" tint="0.79998168889431442"/>
      </top>
      <bottom style="thin">
        <color theme="3" tint="0.79998168889431442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DEDEDE"/>
      </right>
      <top style="thin">
        <color rgb="FFDEDEDE"/>
      </top>
      <bottom style="thin">
        <color rgb="FFDEDEDE"/>
      </bottom>
      <diagonal/>
    </border>
    <border>
      <left/>
      <right style="thin">
        <color rgb="FFDEDEDE"/>
      </right>
      <top/>
      <bottom style="thin">
        <color rgb="FFDEDEDE"/>
      </bottom>
      <diagonal/>
    </border>
    <border>
      <left style="thin">
        <color indexed="64"/>
      </left>
      <right style="thin">
        <color theme="3" tint="0.79998168889431442"/>
      </right>
      <top style="thin">
        <color indexed="64"/>
      </top>
      <bottom style="thin">
        <color theme="3" tint="0.79998168889431442"/>
      </bottom>
      <diagonal/>
    </border>
    <border>
      <left style="thin">
        <color theme="3" tint="0.79998168889431442"/>
      </left>
      <right style="thin">
        <color theme="3" tint="0.79998168889431442"/>
      </right>
      <top style="thin">
        <color indexed="64"/>
      </top>
      <bottom style="thin">
        <color theme="3" tint="0.79998168889431442"/>
      </bottom>
      <diagonal/>
    </border>
    <border>
      <left style="thin">
        <color indexed="64"/>
      </left>
      <right style="thin">
        <color theme="3" tint="0.79998168889431442"/>
      </right>
      <top style="thin">
        <color theme="3" tint="0.79998168889431442"/>
      </top>
      <bottom style="thin">
        <color theme="3" tint="0.79998168889431442"/>
      </bottom>
      <diagonal/>
    </border>
    <border>
      <left style="thin">
        <color indexed="64"/>
      </left>
      <right style="thin">
        <color rgb="FFDEDEDE"/>
      </right>
      <top style="thin">
        <color rgb="FFDEDEDE"/>
      </top>
      <bottom style="thin">
        <color rgb="FFDEDEDE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rgb="FFDEDEDE"/>
      </right>
      <top/>
      <bottom style="thin">
        <color rgb="FFDEDEDE"/>
      </bottom>
      <diagonal/>
    </border>
    <border>
      <left style="thin">
        <color indexed="64"/>
      </left>
      <right/>
      <top style="thin">
        <color theme="3" tint="0.79998168889431442"/>
      </top>
      <bottom style="thin">
        <color theme="3" tint="0.79998168889431442"/>
      </bottom>
      <diagonal/>
    </border>
    <border>
      <left style="thin">
        <color theme="3" tint="0.79998168889431442"/>
      </left>
      <right style="thin">
        <color rgb="FFDEDEDE"/>
      </right>
      <top style="thin">
        <color theme="3" tint="0.79998168889431442"/>
      </top>
      <bottom style="thin">
        <color rgb="FFDEDEDE"/>
      </bottom>
      <diagonal/>
    </border>
    <border>
      <left/>
      <right style="thin">
        <color rgb="FFDEDEDE"/>
      </right>
      <top style="thin">
        <color theme="3" tint="0.79998168889431442"/>
      </top>
      <bottom style="thin">
        <color rgb="FFDEDEDE"/>
      </bottom>
      <diagonal/>
    </border>
    <border>
      <left/>
      <right/>
      <top style="thin">
        <color theme="3" tint="0.79998168889431442"/>
      </top>
      <bottom/>
      <diagonal/>
    </border>
    <border>
      <left/>
      <right style="thin">
        <color theme="3" tint="0.79998168889431442"/>
      </right>
      <top style="thin">
        <color theme="3" tint="0.79998168889431442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FBFBF"/>
      </left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242">
    <xf numFmtId="0" fontId="0" fillId="0" borderId="0" xfId="0">
      <alignment vertical="top" wrapText="1"/>
    </xf>
    <xf numFmtId="0" fontId="0" fillId="0" borderId="0" xfId="0" applyNumberFormat="1">
      <alignment vertical="top" wrapText="1"/>
    </xf>
    <xf numFmtId="0" fontId="0" fillId="0" borderId="0" xfId="0" applyBorder="1">
      <alignment vertical="top" wrapText="1"/>
    </xf>
    <xf numFmtId="0" fontId="0" fillId="0" borderId="0" xfId="0" applyNumberFormat="1" applyBorder="1">
      <alignment vertical="top" wrapText="1"/>
    </xf>
    <xf numFmtId="49" fontId="4" fillId="13" borderId="1" xfId="0" applyNumberFormat="1" applyFont="1" applyFill="1" applyBorder="1" applyAlignment="1">
      <alignment vertical="center" wrapText="1"/>
    </xf>
    <xf numFmtId="49" fontId="2" fillId="0" borderId="1" xfId="0" applyNumberFormat="1" applyFont="1" applyFill="1" applyBorder="1" applyAlignment="1">
      <alignment vertical="center" wrapText="1"/>
    </xf>
    <xf numFmtId="49" fontId="4" fillId="0" borderId="1" xfId="0" applyNumberFormat="1" applyFont="1" applyFill="1" applyBorder="1" applyAlignment="1">
      <alignment vertical="center" wrapText="1"/>
    </xf>
    <xf numFmtId="49" fontId="8" fillId="0" borderId="1" xfId="0" applyNumberFormat="1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vertical="center" wrapText="1"/>
    </xf>
    <xf numFmtId="0" fontId="4" fillId="11" borderId="1" xfId="0" applyFont="1" applyFill="1" applyBorder="1" applyAlignment="1">
      <alignment vertical="center" wrapText="1"/>
    </xf>
    <xf numFmtId="0" fontId="4" fillId="16" borderId="1" xfId="0" applyFont="1" applyFill="1" applyBorder="1" applyAlignment="1">
      <alignment vertical="center" wrapText="1"/>
    </xf>
    <xf numFmtId="0" fontId="4" fillId="0" borderId="1" xfId="0" applyNumberFormat="1" applyFont="1" applyFill="1" applyBorder="1">
      <alignment vertical="top" wrapText="1"/>
    </xf>
    <xf numFmtId="0" fontId="2" fillId="0" borderId="1" xfId="0" applyNumberFormat="1" applyFont="1" applyFill="1" applyBorder="1">
      <alignment vertical="top" wrapText="1"/>
    </xf>
    <xf numFmtId="0" fontId="4" fillId="15" borderId="1" xfId="0" applyNumberFormat="1" applyFont="1" applyFill="1" applyBorder="1">
      <alignment vertical="top" wrapText="1"/>
    </xf>
    <xf numFmtId="0" fontId="4" fillId="0" borderId="1" xfId="0" applyNumberFormat="1" applyFont="1" applyBorder="1">
      <alignment vertical="top" wrapText="1"/>
    </xf>
    <xf numFmtId="49" fontId="2" fillId="0" borderId="1" xfId="0" applyNumberFormat="1" applyFont="1" applyFill="1" applyBorder="1">
      <alignment vertical="top" wrapText="1"/>
    </xf>
    <xf numFmtId="0" fontId="4" fillId="13" borderId="1" xfId="0" applyNumberFormat="1" applyFont="1" applyFill="1" applyBorder="1">
      <alignment vertical="top" wrapText="1"/>
    </xf>
    <xf numFmtId="0" fontId="6" fillId="0" borderId="1" xfId="0" applyNumberFormat="1" applyFont="1" applyFill="1" applyBorder="1" applyAlignment="1">
      <alignment horizontal="center" vertical="top" wrapText="1"/>
    </xf>
    <xf numFmtId="0" fontId="9" fillId="11" borderId="0" xfId="0" applyNumberFormat="1" applyFont="1" applyFill="1">
      <alignment vertical="top" wrapText="1"/>
    </xf>
    <xf numFmtId="0" fontId="9" fillId="11" borderId="0" xfId="0" applyNumberFormat="1" applyFont="1" applyFill="1" applyBorder="1">
      <alignment vertical="top" wrapText="1"/>
    </xf>
    <xf numFmtId="0" fontId="9" fillId="0" borderId="0" xfId="0" applyNumberFormat="1" applyFont="1" applyFill="1" applyBorder="1" applyAlignment="1">
      <alignment horizontal="center" vertical="center" wrapText="1"/>
    </xf>
    <xf numFmtId="0" fontId="9" fillId="0" borderId="0" xfId="0" applyNumberFormat="1" applyFont="1" applyFill="1" applyBorder="1" applyAlignment="1">
      <alignment vertical="center" wrapText="1"/>
    </xf>
    <xf numFmtId="0" fontId="9" fillId="0" borderId="0" xfId="0" applyNumberFormat="1" applyFont="1" applyFill="1" applyBorder="1">
      <alignment vertical="top" wrapText="1"/>
    </xf>
    <xf numFmtId="0" fontId="9" fillId="0" borderId="0" xfId="0" applyNumberFormat="1" applyFont="1" applyFill="1" applyBorder="1" applyAlignment="1">
      <alignment horizontal="right" vertical="center" wrapText="1"/>
    </xf>
    <xf numFmtId="0" fontId="9" fillId="0" borderId="11" xfId="0" applyNumberFormat="1" applyFont="1" applyFill="1" applyBorder="1" applyAlignment="1">
      <alignment horizontal="right" vertical="center" wrapText="1"/>
    </xf>
    <xf numFmtId="0" fontId="9" fillId="0" borderId="11" xfId="0" applyNumberFormat="1" applyFont="1" applyFill="1" applyBorder="1" applyAlignment="1">
      <alignment vertical="center" wrapText="1"/>
    </xf>
    <xf numFmtId="0" fontId="9" fillId="21" borderId="0" xfId="0" applyNumberFormat="1" applyFont="1" applyFill="1" applyBorder="1" applyAlignment="1">
      <alignment horizontal="right" vertical="center" wrapText="1"/>
    </xf>
    <xf numFmtId="0" fontId="9" fillId="21" borderId="0" xfId="0" applyNumberFormat="1" applyFont="1" applyFill="1" applyBorder="1" applyAlignment="1">
      <alignment vertical="center" wrapText="1"/>
    </xf>
    <xf numFmtId="0" fontId="5" fillId="22" borderId="4" xfId="0" applyFont="1" applyFill="1" applyBorder="1">
      <alignment vertical="top" wrapText="1"/>
    </xf>
    <xf numFmtId="49" fontId="5" fillId="22" borderId="4" xfId="0" applyNumberFormat="1" applyFont="1" applyFill="1" applyBorder="1">
      <alignment vertical="top" wrapText="1"/>
    </xf>
    <xf numFmtId="0" fontId="12" fillId="0" borderId="0" xfId="0" applyFont="1" applyBorder="1" applyAlignment="1">
      <alignment horizontal="center" vertical="center"/>
    </xf>
    <xf numFmtId="0" fontId="12" fillId="0" borderId="0" xfId="0" applyFont="1" applyBorder="1" applyAlignment="1">
      <alignment vertical="center"/>
    </xf>
    <xf numFmtId="0" fontId="1" fillId="0" borderId="0" xfId="0" applyNumberFormat="1" applyFont="1" applyBorder="1">
      <alignment vertical="top" wrapText="1"/>
    </xf>
    <xf numFmtId="0" fontId="1" fillId="3" borderId="0" xfId="0" applyNumberFormat="1" applyFont="1" applyFill="1" applyBorder="1">
      <alignment vertical="top" wrapText="1"/>
    </xf>
    <xf numFmtId="0" fontId="1" fillId="0" borderId="0" xfId="0" applyFont="1" applyBorder="1">
      <alignment vertical="top" wrapText="1"/>
    </xf>
    <xf numFmtId="0" fontId="1" fillId="4" borderId="0" xfId="0" applyNumberFormat="1" applyFont="1" applyFill="1" applyBorder="1">
      <alignment vertical="top" wrapText="1"/>
    </xf>
    <xf numFmtId="0" fontId="1" fillId="5" borderId="0" xfId="0" applyNumberFormat="1" applyFont="1" applyFill="1" applyBorder="1">
      <alignment vertical="top" wrapText="1"/>
    </xf>
    <xf numFmtId="0" fontId="2" fillId="0" borderId="0" xfId="0" applyFont="1" applyBorder="1">
      <alignment vertical="top" wrapText="1"/>
    </xf>
    <xf numFmtId="49" fontId="1" fillId="0" borderId="0" xfId="0" applyNumberFormat="1" applyFont="1" applyFill="1" applyBorder="1">
      <alignment vertical="top" wrapText="1"/>
    </xf>
    <xf numFmtId="0" fontId="1" fillId="0" borderId="0" xfId="0" applyFont="1" applyFill="1" applyBorder="1">
      <alignment vertical="top" wrapText="1"/>
    </xf>
    <xf numFmtId="0" fontId="1" fillId="6" borderId="0" xfId="0" applyNumberFormat="1" applyFont="1" applyFill="1" applyBorder="1">
      <alignment vertical="top" wrapText="1"/>
    </xf>
    <xf numFmtId="0" fontId="1" fillId="7" borderId="0" xfId="0" applyNumberFormat="1" applyFont="1" applyFill="1" applyBorder="1">
      <alignment vertical="top" wrapText="1"/>
    </xf>
    <xf numFmtId="0" fontId="1" fillId="0" borderId="0" xfId="0" applyNumberFormat="1" applyFont="1" applyBorder="1" applyAlignment="1">
      <alignment horizontal="right" vertical="top" wrapText="1"/>
    </xf>
    <xf numFmtId="49" fontId="1" fillId="0" borderId="0" xfId="0" applyNumberFormat="1" applyFont="1" applyBorder="1">
      <alignment vertical="top" wrapText="1"/>
    </xf>
    <xf numFmtId="0" fontId="1" fillId="8" borderId="0" xfId="0" applyNumberFormat="1" applyFont="1" applyFill="1" applyBorder="1">
      <alignment vertical="top" wrapText="1"/>
    </xf>
    <xf numFmtId="0" fontId="1" fillId="9" borderId="0" xfId="0" applyNumberFormat="1" applyFont="1" applyFill="1" applyBorder="1">
      <alignment vertical="top" wrapText="1"/>
    </xf>
    <xf numFmtId="0" fontId="13" fillId="0" borderId="1" xfId="0" applyFont="1" applyFill="1" applyBorder="1" applyAlignment="1">
      <alignment vertical="center" wrapText="1"/>
    </xf>
    <xf numFmtId="0" fontId="9" fillId="0" borderId="0" xfId="0" applyNumberFormat="1" applyFont="1">
      <alignment vertical="top" wrapText="1"/>
    </xf>
    <xf numFmtId="0" fontId="9" fillId="21" borderId="0" xfId="0" applyNumberFormat="1" applyFont="1" applyFill="1">
      <alignment vertical="top" wrapText="1"/>
    </xf>
    <xf numFmtId="0" fontId="2" fillId="13" borderId="1" xfId="0" applyNumberFormat="1" applyFont="1" applyFill="1" applyBorder="1">
      <alignment vertical="top" wrapText="1"/>
    </xf>
    <xf numFmtId="0" fontId="7" fillId="12" borderId="14" xfId="0" applyFont="1" applyFill="1" applyBorder="1" applyAlignment="1">
      <alignment vertical="center" wrapText="1"/>
    </xf>
    <xf numFmtId="0" fontId="6" fillId="0" borderId="0" xfId="0" applyFont="1" applyFill="1" applyBorder="1" applyAlignment="1">
      <alignment horizontal="center" vertical="top" wrapText="1"/>
    </xf>
    <xf numFmtId="0" fontId="7" fillId="0" borderId="15" xfId="0" applyFont="1" applyBorder="1" applyAlignment="1">
      <alignment vertical="center" wrapText="1"/>
    </xf>
    <xf numFmtId="0" fontId="4" fillId="12" borderId="1" xfId="0" applyFont="1" applyFill="1" applyBorder="1" applyAlignment="1">
      <alignment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vertical="center" wrapText="1"/>
    </xf>
    <xf numFmtId="0" fontId="4" fillId="14" borderId="1" xfId="0" applyFont="1" applyFill="1" applyBorder="1" applyAlignment="1">
      <alignment vertical="center" wrapText="1"/>
    </xf>
    <xf numFmtId="0" fontId="4" fillId="15" borderId="1" xfId="0" applyFont="1" applyFill="1" applyBorder="1" applyAlignment="1">
      <alignment vertical="center" wrapText="1"/>
    </xf>
    <xf numFmtId="0" fontId="7" fillId="23" borderId="15" xfId="0" applyFont="1" applyFill="1" applyBorder="1" applyAlignment="1">
      <alignment vertical="center" wrapText="1"/>
    </xf>
    <xf numFmtId="0" fontId="7" fillId="24" borderId="14" xfId="0" applyFont="1" applyFill="1" applyBorder="1" applyAlignment="1">
      <alignment vertical="center" wrapText="1"/>
    </xf>
    <xf numFmtId="0" fontId="2" fillId="0" borderId="18" xfId="0" applyFont="1" applyFill="1" applyBorder="1" applyAlignment="1">
      <alignment vertical="center" wrapText="1"/>
    </xf>
    <xf numFmtId="0" fontId="4" fillId="0" borderId="18" xfId="0" applyFont="1" applyFill="1" applyBorder="1" applyAlignment="1">
      <alignment vertical="center" wrapText="1"/>
    </xf>
    <xf numFmtId="0" fontId="4" fillId="11" borderId="18" xfId="0" applyFont="1" applyFill="1" applyBorder="1" applyAlignment="1">
      <alignment vertical="center" wrapText="1"/>
    </xf>
    <xf numFmtId="0" fontId="4" fillId="16" borderId="18" xfId="0" applyFont="1" applyFill="1" applyBorder="1" applyAlignment="1">
      <alignment vertical="center" wrapText="1"/>
    </xf>
    <xf numFmtId="49" fontId="2" fillId="0" borderId="18" xfId="0" applyNumberFormat="1" applyFont="1" applyFill="1" applyBorder="1" applyAlignment="1">
      <alignment vertical="center" wrapText="1"/>
    </xf>
    <xf numFmtId="49" fontId="2" fillId="13" borderId="18" xfId="0" applyNumberFormat="1" applyFont="1" applyFill="1" applyBorder="1">
      <alignment vertical="top" wrapText="1"/>
    </xf>
    <xf numFmtId="49" fontId="2" fillId="0" borderId="18" xfId="0" applyNumberFormat="1" applyFont="1" applyFill="1" applyBorder="1">
      <alignment vertical="top" wrapText="1"/>
    </xf>
    <xf numFmtId="49" fontId="4" fillId="16" borderId="18" xfId="0" applyNumberFormat="1" applyFont="1" applyFill="1" applyBorder="1">
      <alignment vertical="top" wrapText="1"/>
    </xf>
    <xf numFmtId="0" fontId="4" fillId="16" borderId="1" xfId="0" applyFont="1" applyFill="1" applyBorder="1">
      <alignment vertical="top" wrapText="1"/>
    </xf>
    <xf numFmtId="0" fontId="4" fillId="14" borderId="1" xfId="0" applyNumberFormat="1" applyFont="1" applyFill="1" applyBorder="1">
      <alignment vertical="top" wrapText="1"/>
    </xf>
    <xf numFmtId="49" fontId="4" fillId="0" borderId="18" xfId="0" applyNumberFormat="1" applyFont="1" applyFill="1" applyBorder="1">
      <alignment vertical="top" wrapText="1"/>
    </xf>
    <xf numFmtId="0" fontId="4" fillId="0" borderId="0" xfId="0" applyFont="1" applyBorder="1">
      <alignment vertical="top" wrapText="1"/>
    </xf>
    <xf numFmtId="0" fontId="5" fillId="12" borderId="19" xfId="0" applyFont="1" applyFill="1" applyBorder="1">
      <alignment vertical="top" wrapText="1"/>
    </xf>
    <xf numFmtId="0" fontId="4" fillId="12" borderId="0" xfId="0" applyFont="1" applyFill="1" applyBorder="1">
      <alignment vertical="top" wrapText="1"/>
    </xf>
    <xf numFmtId="0" fontId="4" fillId="0" borderId="20" xfId="0" applyFont="1" applyBorder="1">
      <alignment vertical="top" wrapText="1"/>
    </xf>
    <xf numFmtId="0" fontId="2" fillId="0" borderId="0" xfId="0" applyFont="1" applyFill="1" applyBorder="1">
      <alignment vertical="top" wrapText="1"/>
    </xf>
    <xf numFmtId="0" fontId="4" fillId="11" borderId="20" xfId="0" applyFont="1" applyFill="1" applyBorder="1">
      <alignment vertical="top" wrapText="1"/>
    </xf>
    <xf numFmtId="0" fontId="4" fillId="11" borderId="0" xfId="0" applyFont="1" applyFill="1" applyBorder="1">
      <alignment vertical="top" wrapText="1"/>
    </xf>
    <xf numFmtId="0" fontId="4" fillId="16" borderId="20" xfId="0" applyFont="1" applyFill="1" applyBorder="1">
      <alignment vertical="top" wrapText="1"/>
    </xf>
    <xf numFmtId="0" fontId="4" fillId="16" borderId="0" xfId="0" applyFont="1" applyFill="1" applyBorder="1">
      <alignment vertical="top" wrapText="1"/>
    </xf>
    <xf numFmtId="49" fontId="4" fillId="11" borderId="18" xfId="0" applyNumberFormat="1" applyFont="1" applyFill="1" applyBorder="1">
      <alignment vertical="top" wrapText="1"/>
    </xf>
    <xf numFmtId="0" fontId="4" fillId="11" borderId="1" xfId="0" applyFont="1" applyFill="1" applyBorder="1">
      <alignment vertical="top" wrapText="1"/>
    </xf>
    <xf numFmtId="49" fontId="2" fillId="12" borderId="18" xfId="0" applyNumberFormat="1" applyFont="1" applyFill="1" applyBorder="1">
      <alignment vertical="top" wrapText="1"/>
    </xf>
    <xf numFmtId="0" fontId="4" fillId="12" borderId="1" xfId="0" applyNumberFormat="1" applyFont="1" applyFill="1" applyBorder="1">
      <alignment vertical="top" wrapText="1"/>
    </xf>
    <xf numFmtId="49" fontId="4" fillId="0" borderId="18" xfId="0" applyNumberFormat="1" applyFont="1" applyBorder="1">
      <alignment vertical="top" wrapText="1"/>
    </xf>
    <xf numFmtId="49" fontId="5" fillId="24" borderId="19" xfId="0" applyNumberFormat="1" applyFont="1" applyFill="1" applyBorder="1">
      <alignment vertical="top" wrapText="1"/>
    </xf>
    <xf numFmtId="0" fontId="7" fillId="24" borderId="14" xfId="0" applyFont="1" applyFill="1" applyBorder="1">
      <alignment vertical="top" wrapText="1"/>
    </xf>
    <xf numFmtId="0" fontId="4" fillId="13" borderId="0" xfId="0" applyFont="1" applyFill="1" applyBorder="1">
      <alignment vertical="top" wrapText="1"/>
    </xf>
    <xf numFmtId="49" fontId="5" fillId="0" borderId="21" xfId="0" applyNumberFormat="1" applyFont="1" applyBorder="1">
      <alignment vertical="top" wrapText="1"/>
    </xf>
    <xf numFmtId="0" fontId="7" fillId="0" borderId="15" xfId="0" applyFont="1" applyBorder="1">
      <alignment vertical="top" wrapText="1"/>
    </xf>
    <xf numFmtId="0" fontId="7" fillId="23" borderId="21" xfId="0" applyFont="1" applyFill="1" applyBorder="1">
      <alignment vertical="top" wrapText="1"/>
    </xf>
    <xf numFmtId="0" fontId="7" fillId="23" borderId="15" xfId="0" applyFont="1" applyFill="1" applyBorder="1">
      <alignment vertical="top" wrapText="1"/>
    </xf>
    <xf numFmtId="0" fontId="4" fillId="0" borderId="0" xfId="0" applyFont="1" applyFill="1" applyBorder="1">
      <alignment vertical="top" wrapText="1"/>
    </xf>
    <xf numFmtId="49" fontId="4" fillId="0" borderId="22" xfId="0" applyNumberFormat="1" applyFont="1" applyFill="1" applyBorder="1">
      <alignment vertical="top" wrapText="1"/>
    </xf>
    <xf numFmtId="49" fontId="4" fillId="0" borderId="22" xfId="0" applyNumberFormat="1" applyFont="1" applyBorder="1">
      <alignment vertical="top" wrapText="1"/>
    </xf>
    <xf numFmtId="0" fontId="4" fillId="0" borderId="25" xfId="0" applyFont="1" applyFill="1" applyBorder="1">
      <alignment vertical="top" wrapText="1"/>
    </xf>
    <xf numFmtId="0" fontId="4" fillId="0" borderId="26" xfId="0" applyFont="1" applyFill="1" applyBorder="1">
      <alignment vertical="top" wrapText="1"/>
    </xf>
    <xf numFmtId="0" fontId="8" fillId="0" borderId="1" xfId="0" applyFont="1" applyFill="1" applyBorder="1" applyAlignment="1">
      <alignment vertical="center" wrapText="1"/>
    </xf>
    <xf numFmtId="0" fontId="13" fillId="12" borderId="18" xfId="0" applyFont="1" applyFill="1" applyBorder="1" applyAlignment="1">
      <alignment vertical="center" wrapText="1"/>
    </xf>
    <xf numFmtId="49" fontId="13" fillId="13" borderId="18" xfId="0" applyNumberFormat="1" applyFont="1" applyFill="1" applyBorder="1" applyAlignment="1">
      <alignment vertical="center" wrapText="1"/>
    </xf>
    <xf numFmtId="0" fontId="8" fillId="0" borderId="1" xfId="0" applyNumberFormat="1" applyFont="1" applyFill="1" applyBorder="1">
      <alignment vertical="top" wrapText="1"/>
    </xf>
    <xf numFmtId="49" fontId="13" fillId="14" borderId="18" xfId="0" applyNumberFormat="1" applyFont="1" applyFill="1" applyBorder="1">
      <alignment vertical="top" wrapText="1"/>
    </xf>
    <xf numFmtId="49" fontId="13" fillId="13" borderId="18" xfId="0" applyNumberFormat="1" applyFont="1" applyFill="1" applyBorder="1">
      <alignment vertical="top" wrapText="1"/>
    </xf>
    <xf numFmtId="0" fontId="3" fillId="0" borderId="1" xfId="0" applyNumberFormat="1" applyFont="1" applyFill="1" applyBorder="1">
      <alignment vertical="top" wrapText="1"/>
    </xf>
    <xf numFmtId="0" fontId="6" fillId="0" borderId="0" xfId="0" applyFont="1" applyBorder="1" applyAlignment="1">
      <alignment horizontal="center" vertical="top" wrapText="1"/>
    </xf>
    <xf numFmtId="49" fontId="13" fillId="15" borderId="18" xfId="0" applyNumberFormat="1" applyFont="1" applyFill="1" applyBorder="1">
      <alignment vertical="top" wrapText="1"/>
    </xf>
    <xf numFmtId="0" fontId="14" fillId="12" borderId="19" xfId="0" applyFont="1" applyFill="1" applyBorder="1">
      <alignment vertical="top" wrapText="1"/>
    </xf>
    <xf numFmtId="0" fontId="8" fillId="0" borderId="0" xfId="0" applyFont="1" applyBorder="1">
      <alignment vertical="top" wrapText="1"/>
    </xf>
    <xf numFmtId="0" fontId="3" fillId="0" borderId="0" xfId="0" applyFont="1" applyBorder="1">
      <alignment vertical="top" wrapText="1"/>
    </xf>
    <xf numFmtId="0" fontId="15" fillId="0" borderId="24" xfId="0" applyFont="1" applyFill="1" applyBorder="1" applyAlignment="1">
      <alignment vertical="center" wrapText="1"/>
    </xf>
    <xf numFmtId="0" fontId="15" fillId="0" borderId="15" xfId="0" applyFont="1" applyBorder="1" applyAlignment="1">
      <alignment vertical="center" wrapText="1"/>
    </xf>
    <xf numFmtId="49" fontId="14" fillId="24" borderId="19" xfId="0" applyNumberFormat="1" applyFont="1" applyFill="1" applyBorder="1">
      <alignment vertical="top" wrapText="1"/>
    </xf>
    <xf numFmtId="0" fontId="9" fillId="0" borderId="0" xfId="0" applyFont="1" applyFill="1" applyBorder="1" applyAlignment="1">
      <alignment horizontal="right" vertical="center" wrapText="1"/>
    </xf>
    <xf numFmtId="49" fontId="8" fillId="0" borderId="1" xfId="0" applyNumberFormat="1" applyFont="1" applyFill="1" applyBorder="1">
      <alignment vertical="top" wrapText="1"/>
    </xf>
    <xf numFmtId="0" fontId="16" fillId="0" borderId="23" xfId="0" applyFont="1" applyFill="1" applyBorder="1">
      <alignment vertical="top" wrapText="1"/>
    </xf>
    <xf numFmtId="0" fontId="16" fillId="0" borderId="15" xfId="0" applyFont="1" applyBorder="1">
      <alignment vertical="top" wrapText="1"/>
    </xf>
    <xf numFmtId="0" fontId="16" fillId="0" borderId="1" xfId="0" applyNumberFormat="1" applyFont="1" applyFill="1" applyBorder="1">
      <alignment vertical="top" wrapText="1"/>
    </xf>
    <xf numFmtId="49" fontId="13" fillId="12" borderId="18" xfId="0" applyNumberFormat="1" applyFont="1" applyFill="1" applyBorder="1">
      <alignment vertical="top" wrapText="1"/>
    </xf>
    <xf numFmtId="0" fontId="8" fillId="10" borderId="1" xfId="0" applyNumberFormat="1" applyFont="1" applyFill="1" applyBorder="1">
      <alignment vertical="top" wrapText="1"/>
    </xf>
    <xf numFmtId="0" fontId="3" fillId="10" borderId="1" xfId="0" applyFont="1" applyFill="1" applyBorder="1" applyAlignment="1">
      <alignment vertical="center" wrapText="1"/>
    </xf>
    <xf numFmtId="0" fontId="8" fillId="10" borderId="1" xfId="0" applyFont="1" applyFill="1" applyBorder="1" applyAlignment="1">
      <alignment vertical="center" wrapText="1"/>
    </xf>
    <xf numFmtId="0" fontId="2" fillId="25" borderId="16" xfId="0" applyFont="1" applyFill="1" applyBorder="1" applyAlignment="1">
      <alignment vertical="center" wrapText="1"/>
    </xf>
    <xf numFmtId="0" fontId="4" fillId="25" borderId="17" xfId="0" applyFont="1" applyFill="1" applyBorder="1" applyAlignment="1">
      <alignment vertical="center" wrapText="1"/>
    </xf>
    <xf numFmtId="0" fontId="2" fillId="25" borderId="18" xfId="0" applyFont="1" applyFill="1" applyBorder="1" applyAlignment="1">
      <alignment vertical="center" wrapText="1"/>
    </xf>
    <xf numFmtId="0" fontId="4" fillId="25" borderId="1" xfId="0" applyFont="1" applyFill="1" applyBorder="1" applyAlignment="1">
      <alignment vertical="center" wrapText="1"/>
    </xf>
    <xf numFmtId="0" fontId="13" fillId="25" borderId="18" xfId="0" applyFont="1" applyFill="1" applyBorder="1" applyAlignment="1">
      <alignment vertical="center" wrapText="1"/>
    </xf>
    <xf numFmtId="0" fontId="8" fillId="10" borderId="0" xfId="0" applyFont="1" applyFill="1" applyBorder="1">
      <alignment vertical="top" wrapText="1"/>
    </xf>
    <xf numFmtId="0" fontId="3" fillId="10" borderId="0" xfId="0" applyFont="1" applyFill="1" applyBorder="1">
      <alignment vertical="top" wrapText="1"/>
    </xf>
    <xf numFmtId="49" fontId="17" fillId="24" borderId="19" xfId="0" applyNumberFormat="1" applyFont="1" applyFill="1" applyBorder="1">
      <alignment vertical="top" wrapText="1"/>
    </xf>
    <xf numFmtId="0" fontId="1" fillId="21" borderId="0" xfId="0" applyNumberFormat="1" applyFont="1" applyFill="1" applyBorder="1">
      <alignment vertical="top" wrapText="1"/>
    </xf>
    <xf numFmtId="0" fontId="9" fillId="21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ill="1">
      <alignment vertical="top" wrapText="1"/>
    </xf>
    <xf numFmtId="49" fontId="5" fillId="19" borderId="2" xfId="0" applyNumberFormat="1" applyFont="1" applyFill="1" applyBorder="1" applyAlignment="1">
      <alignment vertical="center" wrapText="1"/>
    </xf>
    <xf numFmtId="49" fontId="5" fillId="19" borderId="4" xfId="0" applyNumberFormat="1" applyFont="1" applyFill="1" applyBorder="1" applyAlignment="1">
      <alignment vertical="center" wrapText="1"/>
    </xf>
    <xf numFmtId="0" fontId="5" fillId="19" borderId="4" xfId="0" applyFont="1" applyFill="1" applyBorder="1" applyAlignment="1">
      <alignment vertical="center" wrapText="1"/>
    </xf>
    <xf numFmtId="0" fontId="5" fillId="22" borderId="4" xfId="0" applyFont="1" applyFill="1" applyBorder="1" applyAlignment="1">
      <alignment vertical="center" wrapText="1"/>
    </xf>
    <xf numFmtId="49" fontId="5" fillId="22" borderId="4" xfId="0" applyNumberFormat="1" applyFont="1" applyFill="1" applyBorder="1" applyAlignment="1">
      <alignment vertical="center" wrapText="1"/>
    </xf>
    <xf numFmtId="0" fontId="9" fillId="18" borderId="0" xfId="0" applyNumberFormat="1" applyFont="1" applyFill="1" applyBorder="1" applyAlignment="1">
      <alignment horizontal="right" vertical="center" wrapText="1"/>
    </xf>
    <xf numFmtId="0" fontId="7" fillId="22" borderId="29" xfId="0" applyFont="1" applyFill="1" applyBorder="1" applyAlignment="1">
      <alignment vertical="center" wrapText="1"/>
    </xf>
    <xf numFmtId="0" fontId="7" fillId="22" borderId="0" xfId="0" applyFont="1" applyFill="1" applyBorder="1" applyAlignment="1">
      <alignment vertical="center" wrapText="1"/>
    </xf>
    <xf numFmtId="0" fontId="7" fillId="17" borderId="29" xfId="0" applyFont="1" applyFill="1" applyBorder="1" applyAlignment="1">
      <alignment vertical="center" wrapText="1"/>
    </xf>
    <xf numFmtId="0" fontId="7" fillId="17" borderId="0" xfId="0" applyFont="1" applyFill="1" applyBorder="1" applyAlignment="1">
      <alignment vertical="center" wrapText="1"/>
    </xf>
    <xf numFmtId="0" fontId="9" fillId="18" borderId="0" xfId="0" applyNumberFormat="1" applyFont="1" applyFill="1">
      <alignment vertical="top" wrapText="1"/>
    </xf>
    <xf numFmtId="0" fontId="9" fillId="18" borderId="0" xfId="0" applyFont="1" applyFill="1" applyBorder="1" applyAlignment="1">
      <alignment horizontal="right" vertical="center" wrapText="1"/>
    </xf>
    <xf numFmtId="0" fontId="1" fillId="18" borderId="0" xfId="0" applyNumberFormat="1" applyFont="1" applyFill="1" applyBorder="1">
      <alignment vertical="top" wrapText="1"/>
    </xf>
    <xf numFmtId="0" fontId="9" fillId="0" borderId="0" xfId="0" applyNumberFormat="1" applyFont="1" applyBorder="1">
      <alignment vertical="top" wrapText="1"/>
    </xf>
    <xf numFmtId="0" fontId="9" fillId="18" borderId="0" xfId="0" applyNumberFormat="1" applyFont="1" applyFill="1" applyBorder="1">
      <alignment vertical="top" wrapText="1"/>
    </xf>
    <xf numFmtId="0" fontId="1" fillId="27" borderId="0" xfId="0" applyNumberFormat="1" applyFont="1" applyFill="1" applyBorder="1" applyAlignment="1">
      <alignment horizontal="right" vertical="top" wrapText="1"/>
    </xf>
    <xf numFmtId="0" fontId="9" fillId="18" borderId="0" xfId="0" applyNumberFormat="1" applyFont="1" applyFill="1" applyBorder="1" applyAlignment="1">
      <alignment horizontal="center" vertical="center" wrapText="1"/>
    </xf>
    <xf numFmtId="0" fontId="9" fillId="15" borderId="0" xfId="0" applyNumberFormat="1" applyFont="1" applyFill="1" applyBorder="1" applyAlignment="1">
      <alignment horizontal="center" vertical="center" wrapText="1"/>
    </xf>
    <xf numFmtId="0" fontId="19" fillId="10" borderId="0" xfId="0" applyNumberFormat="1" applyFont="1" applyFill="1" applyBorder="1" applyAlignment="1">
      <alignment horizontal="center" vertical="center" wrapText="1"/>
    </xf>
    <xf numFmtId="0" fontId="9" fillId="28" borderId="0" xfId="0" applyNumberFormat="1" applyFont="1" applyFill="1" applyBorder="1" applyAlignment="1">
      <alignment horizontal="center" vertical="center" wrapText="1"/>
    </xf>
    <xf numFmtId="0" fontId="9" fillId="25" borderId="0" xfId="0" applyNumberFormat="1" applyFont="1" applyFill="1" applyBorder="1" applyAlignment="1">
      <alignment horizontal="center" vertical="center" wrapText="1"/>
    </xf>
    <xf numFmtId="0" fontId="19" fillId="29" borderId="0" xfId="0" applyNumberFormat="1" applyFont="1" applyFill="1" applyBorder="1" applyAlignment="1">
      <alignment horizontal="center" vertical="center" wrapText="1"/>
    </xf>
    <xf numFmtId="0" fontId="18" fillId="0" borderId="0" xfId="0" applyNumberFormat="1" applyFont="1" applyBorder="1" applyAlignment="1">
      <alignment horizontal="center" vertical="center" wrapText="1"/>
    </xf>
    <xf numFmtId="0" fontId="9" fillId="0" borderId="0" xfId="0" applyNumberFormat="1" applyFont="1" applyAlignment="1">
      <alignment horizontal="right" vertical="top" wrapText="1"/>
    </xf>
    <xf numFmtId="0" fontId="9" fillId="15" borderId="5" xfId="0" applyNumberFormat="1" applyFont="1" applyFill="1" applyBorder="1" applyAlignment="1">
      <alignment horizontal="center" vertical="center" wrapText="1"/>
    </xf>
    <xf numFmtId="0" fontId="9" fillId="15" borderId="6" xfId="0" applyNumberFormat="1" applyFont="1" applyFill="1" applyBorder="1" applyAlignment="1">
      <alignment horizontal="center" vertical="center" wrapText="1"/>
    </xf>
    <xf numFmtId="0" fontId="9" fillId="0" borderId="32" xfId="0" applyNumberFormat="1" applyFont="1" applyBorder="1" applyAlignment="1">
      <alignment horizontal="right" vertical="top" wrapText="1"/>
    </xf>
    <xf numFmtId="0" fontId="9" fillId="0" borderId="33" xfId="0" applyNumberFormat="1" applyFont="1" applyBorder="1" applyAlignment="1">
      <alignment horizontal="right" vertical="top" wrapText="1"/>
    </xf>
    <xf numFmtId="0" fontId="9" fillId="0" borderId="0" xfId="0" applyNumberFormat="1" applyFont="1" applyBorder="1" applyAlignment="1">
      <alignment horizontal="right" vertical="top" wrapText="1"/>
    </xf>
    <xf numFmtId="0" fontId="2" fillId="17" borderId="0" xfId="0" applyFont="1" applyFill="1" applyBorder="1" applyAlignment="1">
      <alignment horizontal="center" vertical="center" wrapText="1"/>
    </xf>
    <xf numFmtId="0" fontId="2" fillId="17" borderId="31" xfId="0" applyNumberFormat="1" applyFont="1" applyFill="1" applyBorder="1" applyAlignment="1">
      <alignment horizontal="center" vertical="center" wrapText="1"/>
    </xf>
    <xf numFmtId="0" fontId="9" fillId="0" borderId="0" xfId="0" applyNumberFormat="1" applyFont="1" applyFill="1" applyBorder="1" applyAlignment="1">
      <alignment horizontal="right" vertical="center" wrapText="1"/>
    </xf>
    <xf numFmtId="0" fontId="7" fillId="0" borderId="30" xfId="0" applyFont="1" applyBorder="1" applyAlignment="1">
      <alignment vertical="center" wrapText="1"/>
    </xf>
    <xf numFmtId="0" fontId="7" fillId="0" borderId="3" xfId="0" applyFont="1" applyBorder="1" applyAlignment="1">
      <alignment vertical="center" wrapText="1"/>
    </xf>
    <xf numFmtId="0" fontId="7" fillId="20" borderId="30" xfId="0" applyFont="1" applyFill="1" applyBorder="1" applyAlignment="1">
      <alignment vertical="center" wrapText="1"/>
    </xf>
    <xf numFmtId="0" fontId="7" fillId="20" borderId="3" xfId="0" applyFont="1" applyFill="1" applyBorder="1" applyAlignment="1">
      <alignment vertical="center" wrapText="1"/>
    </xf>
    <xf numFmtId="0" fontId="19" fillId="10" borderId="5" xfId="0" applyFont="1" applyFill="1" applyBorder="1" applyAlignment="1">
      <alignment horizontal="center" vertical="center" wrapText="1"/>
    </xf>
    <xf numFmtId="0" fontId="19" fillId="10" borderId="6" xfId="0" applyFont="1" applyFill="1" applyBorder="1" applyAlignment="1">
      <alignment horizontal="center" vertical="center" wrapText="1"/>
    </xf>
    <xf numFmtId="0" fontId="9" fillId="0" borderId="8" xfId="0" applyNumberFormat="1" applyFont="1" applyFill="1" applyBorder="1" applyAlignment="1">
      <alignment horizontal="center" vertical="center" wrapText="1"/>
    </xf>
    <xf numFmtId="0" fontId="9" fillId="0" borderId="9" xfId="0" applyNumberFormat="1" applyFont="1" applyFill="1" applyBorder="1" applyAlignment="1">
      <alignment horizontal="center" vertical="center" wrapText="1"/>
    </xf>
    <xf numFmtId="0" fontId="9" fillId="0" borderId="10" xfId="0" applyNumberFormat="1" applyFont="1" applyFill="1" applyBorder="1" applyAlignment="1">
      <alignment horizontal="center" vertical="center" wrapText="1"/>
    </xf>
    <xf numFmtId="0" fontId="19" fillId="0" borderId="8" xfId="0" applyFont="1" applyFill="1" applyBorder="1" applyAlignment="1">
      <alignment horizontal="center" vertical="center" wrapText="1"/>
    </xf>
    <xf numFmtId="0" fontId="19" fillId="0" borderId="9" xfId="0" applyFont="1" applyFill="1" applyBorder="1" applyAlignment="1">
      <alignment horizontal="center" vertical="center" wrapText="1"/>
    </xf>
    <xf numFmtId="0" fontId="19" fillId="0" borderId="10" xfId="0" applyFont="1" applyFill="1" applyBorder="1" applyAlignment="1">
      <alignment horizontal="center" vertical="center" wrapText="1"/>
    </xf>
    <xf numFmtId="0" fontId="7" fillId="0" borderId="30" xfId="0" applyFont="1" applyBorder="1" applyAlignment="1">
      <alignment horizontal="right" vertical="center" wrapText="1"/>
    </xf>
    <xf numFmtId="0" fontId="7" fillId="0" borderId="3" xfId="0" applyFont="1" applyBorder="1" applyAlignment="1">
      <alignment horizontal="right" vertical="center" wrapText="1"/>
    </xf>
    <xf numFmtId="0" fontId="7" fillId="20" borderId="30" xfId="0" applyFont="1" applyFill="1" applyBorder="1" applyAlignment="1">
      <alignment horizontal="right" vertical="center" wrapText="1"/>
    </xf>
    <xf numFmtId="0" fontId="7" fillId="20" borderId="3" xfId="0" applyFont="1" applyFill="1" applyBorder="1" applyAlignment="1">
      <alignment horizontal="right" vertical="center" wrapText="1"/>
    </xf>
    <xf numFmtId="0" fontId="7" fillId="17" borderId="29" xfId="0" applyFont="1" applyFill="1" applyBorder="1" applyAlignment="1">
      <alignment horizontal="center" vertical="top" wrapText="1"/>
    </xf>
    <xf numFmtId="0" fontId="7" fillId="17" borderId="0" xfId="0" applyFont="1" applyFill="1" applyBorder="1" applyAlignment="1">
      <alignment horizontal="center" vertical="top" wrapText="1"/>
    </xf>
    <xf numFmtId="0" fontId="7" fillId="0" borderId="30" xfId="0" applyFont="1" applyFill="1" applyBorder="1" applyAlignment="1">
      <alignment vertical="center" wrapText="1"/>
    </xf>
    <xf numFmtId="0" fontId="7" fillId="0" borderId="3" xfId="0" applyFont="1" applyFill="1" applyBorder="1" applyAlignment="1">
      <alignment vertical="center" wrapText="1"/>
    </xf>
    <xf numFmtId="0" fontId="7" fillId="26" borderId="30" xfId="0" applyFont="1" applyFill="1" applyBorder="1" applyAlignment="1">
      <alignment vertical="center" wrapText="1"/>
    </xf>
    <xf numFmtId="0" fontId="7" fillId="26" borderId="3" xfId="0" applyFont="1" applyFill="1" applyBorder="1" applyAlignment="1">
      <alignment vertical="center" wrapText="1"/>
    </xf>
    <xf numFmtId="0" fontId="18" fillId="0" borderId="5" xfId="0" applyNumberFormat="1" applyFont="1" applyFill="1" applyBorder="1" applyAlignment="1">
      <alignment horizontal="center" vertical="center" wrapText="1"/>
    </xf>
    <xf numFmtId="0" fontId="18" fillId="0" borderId="6" xfId="0" applyNumberFormat="1" applyFont="1" applyFill="1" applyBorder="1" applyAlignment="1">
      <alignment horizontal="center" vertical="center" wrapText="1"/>
    </xf>
    <xf numFmtId="0" fontId="19" fillId="0" borderId="27" xfId="0" applyNumberFormat="1" applyFont="1" applyFill="1" applyBorder="1" applyAlignment="1">
      <alignment horizontal="center" vertical="center" wrapText="1"/>
    </xf>
    <xf numFmtId="0" fontId="18" fillId="0" borderId="11" xfId="0" applyNumberFormat="1" applyFont="1" applyFill="1" applyBorder="1" applyAlignment="1">
      <alignment horizontal="center" vertical="center" wrapText="1"/>
    </xf>
    <xf numFmtId="0" fontId="18" fillId="0" borderId="28" xfId="0" applyNumberFormat="1" applyFont="1" applyFill="1" applyBorder="1" applyAlignment="1">
      <alignment horizontal="center" vertical="center" wrapText="1"/>
    </xf>
    <xf numFmtId="0" fontId="18" fillId="0" borderId="12" xfId="0" applyNumberFormat="1" applyFont="1" applyFill="1" applyBorder="1" applyAlignment="1">
      <alignment horizontal="center" vertical="center" wrapText="1"/>
    </xf>
    <xf numFmtId="0" fontId="18" fillId="0" borderId="7" xfId="0" applyNumberFormat="1" applyFont="1" applyFill="1" applyBorder="1" applyAlignment="1">
      <alignment horizontal="center" vertical="center" wrapText="1"/>
    </xf>
    <xf numFmtId="0" fontId="18" fillId="0" borderId="13" xfId="0" applyNumberFormat="1" applyFont="1" applyFill="1" applyBorder="1" applyAlignment="1">
      <alignment horizontal="center" vertical="center" wrapText="1"/>
    </xf>
    <xf numFmtId="0" fontId="19" fillId="25" borderId="5" xfId="0" applyNumberFormat="1" applyFont="1" applyFill="1" applyBorder="1" applyAlignment="1">
      <alignment horizontal="center" vertical="center" wrapText="1"/>
    </xf>
    <xf numFmtId="0" fontId="19" fillId="25" borderId="6" xfId="0" applyNumberFormat="1" applyFont="1" applyFill="1" applyBorder="1" applyAlignment="1">
      <alignment horizontal="center" vertical="center" wrapText="1"/>
    </xf>
    <xf numFmtId="0" fontId="9" fillId="18" borderId="5" xfId="0" applyNumberFormat="1" applyFont="1" applyFill="1" applyBorder="1" applyAlignment="1">
      <alignment horizontal="center" vertical="center" wrapText="1"/>
    </xf>
    <xf numFmtId="0" fontId="9" fillId="18" borderId="6" xfId="0" applyNumberFormat="1" applyFont="1" applyFill="1" applyBorder="1" applyAlignment="1">
      <alignment horizontal="center" vertical="center" wrapText="1"/>
    </xf>
    <xf numFmtId="0" fontId="9" fillId="21" borderId="5" xfId="0" applyNumberFormat="1" applyFont="1" applyFill="1" applyBorder="1" applyAlignment="1">
      <alignment horizontal="center" vertical="center" wrapText="1"/>
    </xf>
    <xf numFmtId="0" fontId="9" fillId="21" borderId="6" xfId="0" applyNumberFormat="1" applyFont="1" applyFill="1" applyBorder="1" applyAlignment="1">
      <alignment horizontal="center" vertical="center" wrapText="1"/>
    </xf>
    <xf numFmtId="0" fontId="19" fillId="10" borderId="5" xfId="0" applyNumberFormat="1" applyFont="1" applyFill="1" applyBorder="1" applyAlignment="1">
      <alignment horizontal="center" vertical="center" wrapText="1"/>
    </xf>
    <xf numFmtId="0" fontId="19" fillId="10" borderId="6" xfId="0" applyNumberFormat="1" applyFont="1" applyFill="1" applyBorder="1" applyAlignment="1">
      <alignment horizontal="center" vertical="center" wrapText="1"/>
    </xf>
    <xf numFmtId="0" fontId="9" fillId="0" borderId="8" xfId="0" applyNumberFormat="1" applyFont="1" applyBorder="1" applyAlignment="1">
      <alignment horizontal="center" vertical="center" wrapText="1"/>
    </xf>
    <xf numFmtId="0" fontId="9" fillId="0" borderId="9" xfId="0" applyNumberFormat="1" applyFont="1" applyBorder="1" applyAlignment="1">
      <alignment horizontal="center" vertical="center" wrapText="1"/>
    </xf>
    <xf numFmtId="0" fontId="9" fillId="0" borderId="10" xfId="0" applyNumberFormat="1" applyFont="1" applyBorder="1" applyAlignment="1">
      <alignment horizontal="center" vertical="center" wrapText="1"/>
    </xf>
    <xf numFmtId="0" fontId="9" fillId="11" borderId="8" xfId="0" applyNumberFormat="1" applyFont="1" applyFill="1" applyBorder="1" applyAlignment="1">
      <alignment horizontal="center" vertical="center" wrapText="1"/>
    </xf>
    <xf numFmtId="0" fontId="9" fillId="11" borderId="9" xfId="0" applyNumberFormat="1" applyFont="1" applyFill="1" applyBorder="1" applyAlignment="1">
      <alignment horizontal="center" vertical="center" wrapText="1"/>
    </xf>
    <xf numFmtId="0" fontId="9" fillId="11" borderId="10" xfId="0" applyNumberFormat="1" applyFont="1" applyFill="1" applyBorder="1" applyAlignment="1">
      <alignment horizontal="center" vertical="center" wrapText="1"/>
    </xf>
    <xf numFmtId="0" fontId="19" fillId="29" borderId="5" xfId="0" applyFont="1" applyFill="1" applyBorder="1" applyAlignment="1">
      <alignment horizontal="center" vertical="center" wrapText="1"/>
    </xf>
    <xf numFmtId="0" fontId="19" fillId="29" borderId="6" xfId="0" applyFont="1" applyFill="1" applyBorder="1" applyAlignment="1">
      <alignment horizontal="center" vertical="center" wrapText="1"/>
    </xf>
    <xf numFmtId="0" fontId="19" fillId="28" borderId="5" xfId="0" applyNumberFormat="1" applyFont="1" applyFill="1" applyBorder="1" applyAlignment="1">
      <alignment horizontal="center" vertical="center" wrapText="1"/>
    </xf>
    <xf numFmtId="0" fontId="19" fillId="28" borderId="6" xfId="0" applyNumberFormat="1" applyFont="1" applyFill="1" applyBorder="1" applyAlignment="1">
      <alignment horizontal="center" vertical="center" wrapText="1"/>
    </xf>
    <xf numFmtId="0" fontId="19" fillId="29" borderId="5" xfId="0" applyNumberFormat="1" applyFont="1" applyFill="1" applyBorder="1" applyAlignment="1">
      <alignment horizontal="center" vertical="center" wrapText="1"/>
    </xf>
    <xf numFmtId="0" fontId="19" fillId="29" borderId="6" xfId="0" applyNumberFormat="1" applyFont="1" applyFill="1" applyBorder="1" applyAlignment="1">
      <alignment horizontal="center" vertical="center" wrapText="1"/>
    </xf>
    <xf numFmtId="0" fontId="19" fillId="15" borderId="5" xfId="0" applyNumberFormat="1" applyFont="1" applyFill="1" applyBorder="1" applyAlignment="1">
      <alignment horizontal="center" vertical="center" wrapText="1"/>
    </xf>
    <xf numFmtId="0" fontId="19" fillId="15" borderId="6" xfId="0" applyNumberFormat="1" applyFont="1" applyFill="1" applyBorder="1" applyAlignment="1">
      <alignment horizontal="center" vertical="center" wrapText="1"/>
    </xf>
    <xf numFmtId="0" fontId="9" fillId="0" borderId="0" xfId="0" applyNumberFormat="1" applyFont="1" applyFill="1" applyBorder="1" applyAlignment="1">
      <alignment horizontal="center" vertical="center" wrapText="1"/>
    </xf>
    <xf numFmtId="0" fontId="19" fillId="0" borderId="5" xfId="0" applyFont="1" applyFill="1" applyBorder="1" applyAlignment="1">
      <alignment horizontal="center" vertical="center" wrapText="1"/>
    </xf>
    <xf numFmtId="0" fontId="19" fillId="0" borderId="6" xfId="0" applyFont="1" applyFill="1" applyBorder="1" applyAlignment="1">
      <alignment horizontal="center" vertical="center" wrapText="1"/>
    </xf>
    <xf numFmtId="0" fontId="9" fillId="0" borderId="11" xfId="0" applyNumberFormat="1" applyFont="1" applyFill="1" applyBorder="1" applyAlignment="1">
      <alignment horizontal="right" vertical="center" wrapText="1"/>
    </xf>
    <xf numFmtId="0" fontId="11" fillId="0" borderId="0" xfId="0" applyNumberFormat="1" applyFont="1" applyFill="1" applyBorder="1" applyAlignment="1">
      <alignment horizontal="center" vertical="center" wrapText="1"/>
    </xf>
    <xf numFmtId="0" fontId="9" fillId="0" borderId="7" xfId="0" applyNumberFormat="1" applyFont="1" applyFill="1" applyBorder="1" applyAlignment="1">
      <alignment horizontal="center" vertical="center" wrapText="1"/>
    </xf>
    <xf numFmtId="0" fontId="9" fillId="11" borderId="12" xfId="0" applyNumberFormat="1" applyFont="1" applyFill="1" applyBorder="1" applyAlignment="1">
      <alignment horizontal="center" vertical="center" wrapText="1"/>
    </xf>
    <xf numFmtId="0" fontId="9" fillId="11" borderId="7" xfId="0" applyNumberFormat="1" applyFont="1" applyFill="1" applyBorder="1" applyAlignment="1">
      <alignment horizontal="center" vertical="center" wrapText="1"/>
    </xf>
    <xf numFmtId="0" fontId="9" fillId="11" borderId="13" xfId="0" applyNumberFormat="1" applyFont="1" applyFill="1" applyBorder="1" applyAlignment="1">
      <alignment horizontal="center" vertical="center" wrapText="1"/>
    </xf>
    <xf numFmtId="0" fontId="19" fillId="18" borderId="5" xfId="0" applyNumberFormat="1" applyFont="1" applyFill="1" applyBorder="1" applyAlignment="1">
      <alignment horizontal="center" vertical="center" wrapText="1"/>
    </xf>
    <xf numFmtId="0" fontId="19" fillId="18" borderId="6" xfId="0" applyNumberFormat="1" applyFont="1" applyFill="1" applyBorder="1" applyAlignment="1">
      <alignment horizontal="center" vertical="center" wrapText="1"/>
    </xf>
    <xf numFmtId="0" fontId="0" fillId="11" borderId="8" xfId="0" applyNumberFormat="1" applyFill="1" applyBorder="1" applyAlignment="1">
      <alignment horizontal="center" vertical="top" wrapText="1"/>
    </xf>
    <xf numFmtId="0" fontId="0" fillId="11" borderId="9" xfId="0" applyNumberFormat="1" applyFill="1" applyBorder="1" applyAlignment="1">
      <alignment horizontal="center" vertical="top" wrapText="1"/>
    </xf>
    <xf numFmtId="0" fontId="0" fillId="11" borderId="10" xfId="0" applyNumberFormat="1" applyFill="1" applyBorder="1" applyAlignment="1">
      <alignment horizontal="center" vertical="top" wrapText="1"/>
    </xf>
    <xf numFmtId="0" fontId="12" fillId="0" borderId="0" xfId="0" applyNumberFormat="1" applyFont="1" applyAlignment="1">
      <alignment horizontal="center" vertical="center" wrapText="1"/>
    </xf>
    <xf numFmtId="0" fontId="10" fillId="19" borderId="0" xfId="0" applyNumberFormat="1" applyFont="1" applyFill="1" applyBorder="1" applyAlignment="1">
      <alignment horizontal="center" vertical="center" wrapText="1"/>
    </xf>
    <xf numFmtId="0" fontId="11" fillId="0" borderId="0" xfId="0" applyNumberFormat="1" applyFont="1" applyFill="1" applyBorder="1" applyAlignment="1">
      <alignment horizontal="center" vertical="top" wrapText="1"/>
    </xf>
    <xf numFmtId="0" fontId="9" fillId="0" borderId="8" xfId="0" applyNumberFormat="1" applyFont="1" applyFill="1" applyBorder="1" applyAlignment="1">
      <alignment horizontal="center" vertical="top" wrapText="1"/>
    </xf>
    <xf numFmtId="0" fontId="9" fillId="0" borderId="9" xfId="0" applyNumberFormat="1" applyFont="1" applyFill="1" applyBorder="1" applyAlignment="1">
      <alignment horizontal="center" vertical="top" wrapText="1"/>
    </xf>
    <xf numFmtId="0" fontId="9" fillId="0" borderId="10" xfId="0" applyNumberFormat="1" applyFont="1" applyFill="1" applyBorder="1" applyAlignment="1">
      <alignment horizontal="center" vertical="top" wrapText="1"/>
    </xf>
    <xf numFmtId="49" fontId="11" fillId="0" borderId="0" xfId="0" applyNumberFormat="1" applyFont="1" applyFill="1" applyBorder="1" applyAlignment="1">
      <alignment horizontal="center" vertical="top" wrapText="1"/>
    </xf>
    <xf numFmtId="49" fontId="11" fillId="2" borderId="0" xfId="0" applyNumberFormat="1" applyFont="1" applyFill="1" applyBorder="1" applyAlignment="1">
      <alignment horizontal="center" vertical="top" wrapText="1"/>
    </xf>
    <xf numFmtId="49" fontId="11" fillId="2" borderId="0" xfId="0" applyNumberFormat="1" applyFont="1" applyFill="1" applyBorder="1" applyAlignment="1">
      <alignment horizontal="center" vertical="center" wrapText="1"/>
    </xf>
    <xf numFmtId="49" fontId="12" fillId="2" borderId="0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03FF00"/>
      <rgbColor rgb="FF00FF1C"/>
      <rgbColor rgb="FF00FF0D"/>
      <rgbColor rgb="FFFFF900"/>
      <rgbColor rgb="FF0FFF00"/>
      <rgbColor rgb="FF12FF00"/>
      <rgbColor rgb="FFF8FF00"/>
      <rgbColor rgb="FFF9F914"/>
      <rgbColor rgb="FFF5FF09"/>
      <rgbColor rgb="FFFDFF02"/>
      <rgbColor rgb="FF00FF05"/>
      <rgbColor rgb="FFBEC0BF"/>
      <rgbColor rgb="FF7F7F7F"/>
      <rgbColor rgb="FFFF2600"/>
      <rgbColor rgb="FFFEFB00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1CFFF"/>
      <color rgb="FFDBDBDB"/>
      <color rgb="FF0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0"/>
  <sheetViews>
    <sheetView showGridLines="0" tabSelected="1" zoomScale="101" workbookViewId="0">
      <selection activeCell="G98" sqref="G98"/>
    </sheetView>
  </sheetViews>
  <sheetFormatPr baseColWidth="10" defaultColWidth="16.33203125" defaultRowHeight="20" customHeight="1" x14ac:dyDescent="0.15"/>
  <cols>
    <col min="1" max="1" width="49.5" style="3" customWidth="1"/>
    <col min="2" max="2" width="16.33203125" style="3" customWidth="1"/>
    <col min="3" max="3" width="16.33203125" style="1" customWidth="1"/>
    <col min="4" max="4" width="39" style="1" customWidth="1"/>
    <col min="5" max="5" width="31.33203125" style="1" bestFit="1" customWidth="1"/>
    <col min="6" max="16384" width="16.33203125" style="1"/>
  </cols>
  <sheetData>
    <row r="1" spans="1:6" ht="27.75" customHeight="1" x14ac:dyDescent="0.15">
      <c r="A1" s="32" t="s">
        <v>102</v>
      </c>
      <c r="B1" s="33"/>
      <c r="D1" s="232" t="s">
        <v>226</v>
      </c>
      <c r="E1" s="232"/>
      <c r="F1" s="232"/>
    </row>
    <row r="2" spans="1:6" s="133" customFormat="1" ht="20.25" customHeight="1" x14ac:dyDescent="0.15">
      <c r="A2" s="163" t="s">
        <v>230</v>
      </c>
      <c r="B2" s="163"/>
      <c r="D2" s="164" t="s">
        <v>231</v>
      </c>
      <c r="E2" s="164"/>
      <c r="F2" s="164"/>
    </row>
    <row r="3" spans="1:6" ht="18" x14ac:dyDescent="0.15">
      <c r="A3" s="239" t="s">
        <v>0</v>
      </c>
      <c r="B3" s="239"/>
      <c r="D3" s="134" t="s">
        <v>57</v>
      </c>
      <c r="E3" s="178">
        <v>39</v>
      </c>
      <c r="F3" s="179"/>
    </row>
    <row r="4" spans="1:6" ht="20" customHeight="1" x14ac:dyDescent="0.15">
      <c r="A4" s="238"/>
      <c r="B4" s="238"/>
      <c r="D4" s="135" t="s">
        <v>59</v>
      </c>
      <c r="E4" s="178">
        <v>0</v>
      </c>
      <c r="F4" s="179"/>
    </row>
    <row r="5" spans="1:6" ht="20" customHeight="1" x14ac:dyDescent="0.15">
      <c r="A5" s="40" t="s">
        <v>1</v>
      </c>
      <c r="B5" s="34">
        <v>3</v>
      </c>
      <c r="D5" s="135" t="s">
        <v>60</v>
      </c>
      <c r="E5" s="180">
        <f>E3-E4</f>
        <v>39</v>
      </c>
      <c r="F5" s="181"/>
    </row>
    <row r="6" spans="1:6" ht="20" customHeight="1" x14ac:dyDescent="0.15">
      <c r="A6" s="40" t="s">
        <v>2</v>
      </c>
      <c r="B6" s="34">
        <v>3</v>
      </c>
      <c r="D6" s="30"/>
      <c r="E6" s="182"/>
      <c r="F6" s="183"/>
    </row>
    <row r="7" spans="1:6" ht="20" customHeight="1" x14ac:dyDescent="0.15">
      <c r="A7" s="40" t="s">
        <v>3</v>
      </c>
      <c r="B7" s="35" cm="1">
        <f t="array" ref="B7">B5-B6</f>
        <v>0</v>
      </c>
      <c r="D7" s="136" t="s">
        <v>232</v>
      </c>
      <c r="E7" s="178">
        <v>8</v>
      </c>
      <c r="F7" s="179"/>
    </row>
    <row r="8" spans="1:6" ht="20" customHeight="1" x14ac:dyDescent="0.15">
      <c r="A8" s="41"/>
      <c r="B8" s="36"/>
      <c r="D8" s="136" t="s">
        <v>233</v>
      </c>
      <c r="E8" s="178">
        <v>4</v>
      </c>
      <c r="F8" s="179"/>
    </row>
    <row r="9" spans="1:6" ht="20" customHeight="1" x14ac:dyDescent="0.15">
      <c r="A9" s="40" t="s">
        <v>4</v>
      </c>
      <c r="B9" s="34">
        <v>3</v>
      </c>
      <c r="D9" s="136" t="s">
        <v>234</v>
      </c>
      <c r="E9" s="180">
        <f>E7-E8</f>
        <v>4</v>
      </c>
      <c r="F9" s="181"/>
    </row>
    <row r="10" spans="1:6" ht="20" customHeight="1" x14ac:dyDescent="0.15">
      <c r="A10" s="40" t="s">
        <v>5</v>
      </c>
      <c r="B10" s="34">
        <v>3</v>
      </c>
      <c r="D10" s="31"/>
      <c r="E10" s="182"/>
      <c r="F10" s="183"/>
    </row>
    <row r="11" spans="1:6" ht="20" customHeight="1" x14ac:dyDescent="0.15">
      <c r="A11" s="40" t="s">
        <v>6</v>
      </c>
      <c r="B11" s="37" cm="1">
        <f t="array" ref="B11">B9-B10</f>
        <v>0</v>
      </c>
      <c r="D11" s="136" t="s">
        <v>170</v>
      </c>
      <c r="E11" s="178">
        <v>21</v>
      </c>
      <c r="F11" s="179"/>
    </row>
    <row r="12" spans="1:6" ht="20" customHeight="1" x14ac:dyDescent="0.15">
      <c r="A12" s="41"/>
      <c r="B12" s="36"/>
      <c r="D12" s="136" t="s">
        <v>171</v>
      </c>
      <c r="E12" s="178">
        <v>0</v>
      </c>
      <c r="F12" s="179"/>
    </row>
    <row r="13" spans="1:6" ht="20" customHeight="1" x14ac:dyDescent="0.15">
      <c r="A13" s="40" t="s">
        <v>7</v>
      </c>
      <c r="B13" s="34">
        <v>3</v>
      </c>
      <c r="D13" s="136" t="s">
        <v>172</v>
      </c>
      <c r="E13" s="180">
        <f>E11-E12</f>
        <v>21</v>
      </c>
      <c r="F13" s="181"/>
    </row>
    <row r="14" spans="1:6" ht="20" customHeight="1" x14ac:dyDescent="0.15">
      <c r="A14" s="40" t="s">
        <v>8</v>
      </c>
      <c r="B14" s="34">
        <v>3</v>
      </c>
      <c r="D14" s="31"/>
      <c r="E14" s="182"/>
      <c r="F14" s="183"/>
    </row>
    <row r="15" spans="1:6" ht="20" customHeight="1" x14ac:dyDescent="0.15">
      <c r="A15" s="40" t="s">
        <v>9</v>
      </c>
      <c r="B15" s="38" cm="1">
        <f t="array" ref="B15">B13-B14</f>
        <v>0</v>
      </c>
      <c r="D15" s="136" t="s">
        <v>251</v>
      </c>
      <c r="E15" s="166">
        <v>54</v>
      </c>
      <c r="F15" s="167"/>
    </row>
    <row r="16" spans="1:6" ht="20" customHeight="1" x14ac:dyDescent="0.15">
      <c r="A16" s="36"/>
      <c r="B16" s="36"/>
      <c r="D16" s="136" t="s">
        <v>250</v>
      </c>
      <c r="E16" s="166">
        <f>E20+E24+E8+E12</f>
        <v>28</v>
      </c>
      <c r="F16" s="167"/>
    </row>
    <row r="17" spans="1:6" ht="20" customHeight="1" x14ac:dyDescent="0.15">
      <c r="A17" s="40" t="s">
        <v>10</v>
      </c>
      <c r="B17" s="34">
        <v>3</v>
      </c>
      <c r="D17" s="136" t="s">
        <v>252</v>
      </c>
      <c r="E17" s="168">
        <f>E15-E16</f>
        <v>26</v>
      </c>
      <c r="F17" s="169"/>
    </row>
    <row r="18" spans="1:6" ht="20" customHeight="1" x14ac:dyDescent="0.15">
      <c r="A18" s="40" t="s">
        <v>11</v>
      </c>
      <c r="B18" s="34">
        <f>F41</f>
        <v>3</v>
      </c>
      <c r="D18" s="137"/>
      <c r="E18" s="140"/>
      <c r="F18" s="141"/>
    </row>
    <row r="19" spans="1:6" ht="20" customHeight="1" x14ac:dyDescent="0.15">
      <c r="A19" s="40" t="s">
        <v>12</v>
      </c>
      <c r="B19" s="146" cm="1">
        <f t="array" ref="B19">B17-B18</f>
        <v>0</v>
      </c>
      <c r="D19" s="136" t="s">
        <v>227</v>
      </c>
      <c r="E19" s="184">
        <v>13</v>
      </c>
      <c r="F19" s="185"/>
    </row>
    <row r="20" spans="1:6" ht="20" customHeight="1" x14ac:dyDescent="0.15">
      <c r="A20" s="39"/>
      <c r="B20" s="2"/>
      <c r="D20" s="136" t="s">
        <v>228</v>
      </c>
      <c r="E20" s="184">
        <v>13</v>
      </c>
      <c r="F20" s="185"/>
    </row>
    <row r="21" spans="1:6" ht="18" x14ac:dyDescent="0.15">
      <c r="A21" s="240" t="s">
        <v>13</v>
      </c>
      <c r="B21" s="240"/>
      <c r="D21" s="136" t="s">
        <v>229</v>
      </c>
      <c r="E21" s="186">
        <f>E19-E20</f>
        <v>0</v>
      </c>
      <c r="F21" s="187"/>
    </row>
    <row r="22" spans="1:6" ht="20" customHeight="1" x14ac:dyDescent="0.15">
      <c r="D22" s="138"/>
      <c r="E22" s="142"/>
      <c r="F22" s="143"/>
    </row>
    <row r="23" spans="1:6" ht="20" customHeight="1" x14ac:dyDescent="0.15">
      <c r="A23" s="40" t="s">
        <v>14</v>
      </c>
      <c r="B23" s="34">
        <v>12</v>
      </c>
      <c r="D23" s="136" t="s">
        <v>245</v>
      </c>
      <c r="E23" s="184">
        <v>18</v>
      </c>
      <c r="F23" s="185"/>
    </row>
    <row r="24" spans="1:6" ht="20" customHeight="1" x14ac:dyDescent="0.15">
      <c r="A24" s="40" t="s">
        <v>15</v>
      </c>
      <c r="B24" s="34">
        <v>12</v>
      </c>
      <c r="D24" s="136" t="s">
        <v>247</v>
      </c>
      <c r="E24" s="184">
        <v>11</v>
      </c>
      <c r="F24" s="185"/>
    </row>
    <row r="25" spans="1:6" ht="20" customHeight="1" x14ac:dyDescent="0.15">
      <c r="A25" s="40" t="s">
        <v>16</v>
      </c>
      <c r="B25" s="42" cm="1">
        <f t="array" ref="B25">B23-B24</f>
        <v>0</v>
      </c>
      <c r="D25" s="136" t="s">
        <v>246</v>
      </c>
      <c r="E25" s="168">
        <f>E23-E24</f>
        <v>7</v>
      </c>
      <c r="F25" s="169"/>
    </row>
    <row r="26" spans="1:6" ht="20" customHeight="1" x14ac:dyDescent="0.15">
      <c r="A26" s="41"/>
      <c r="B26" s="36"/>
      <c r="D26" s="138"/>
      <c r="E26" s="142"/>
      <c r="F26" s="143"/>
    </row>
    <row r="27" spans="1:6" ht="20" customHeight="1" x14ac:dyDescent="0.15">
      <c r="A27" s="40" t="s">
        <v>17</v>
      </c>
      <c r="B27" s="34">
        <v>12</v>
      </c>
      <c r="D27" s="135" t="s">
        <v>240</v>
      </c>
      <c r="E27" s="166">
        <v>16</v>
      </c>
      <c r="F27" s="167"/>
    </row>
    <row r="28" spans="1:6" ht="20" customHeight="1" x14ac:dyDescent="0.15">
      <c r="A28" s="40" t="s">
        <v>18</v>
      </c>
      <c r="B28" s="34">
        <v>14</v>
      </c>
      <c r="D28" s="135" t="s">
        <v>238</v>
      </c>
      <c r="E28" s="166">
        <v>4</v>
      </c>
      <c r="F28" s="167"/>
    </row>
    <row r="29" spans="1:6" ht="20" customHeight="1" x14ac:dyDescent="0.15">
      <c r="A29" s="40" t="s">
        <v>19</v>
      </c>
      <c r="B29" s="43" cm="1">
        <f t="array" ref="B29">B27-B28</f>
        <v>-2</v>
      </c>
      <c r="D29" s="135" t="s">
        <v>239</v>
      </c>
      <c r="E29" s="168">
        <f>E27-E28</f>
        <v>12</v>
      </c>
      <c r="F29" s="169"/>
    </row>
    <row r="30" spans="1:6" ht="20" customHeight="1" x14ac:dyDescent="0.15">
      <c r="A30" s="41"/>
      <c r="B30" s="36"/>
      <c r="D30" s="138"/>
      <c r="E30" s="142"/>
      <c r="F30" s="143"/>
    </row>
    <row r="31" spans="1:6" ht="20" customHeight="1" x14ac:dyDescent="0.15">
      <c r="A31" s="40" t="s">
        <v>20</v>
      </c>
      <c r="B31" s="34">
        <v>12</v>
      </c>
    </row>
    <row r="32" spans="1:6" ht="20" customHeight="1" x14ac:dyDescent="0.15">
      <c r="A32" s="40" t="s">
        <v>21</v>
      </c>
      <c r="B32" s="34">
        <f>9+F52</f>
        <v>13</v>
      </c>
      <c r="D32" s="233" t="s">
        <v>151</v>
      </c>
      <c r="E32" s="233"/>
      <c r="F32" s="233"/>
    </row>
    <row r="33" spans="1:6" ht="20" customHeight="1" x14ac:dyDescent="0.15">
      <c r="A33" s="40" t="s">
        <v>22</v>
      </c>
      <c r="B33" s="146" cm="1">
        <f t="array" ref="B33">B31-B32</f>
        <v>-1</v>
      </c>
      <c r="D33" s="20" t="s">
        <v>152</v>
      </c>
      <c r="E33" s="20" t="s">
        <v>153</v>
      </c>
      <c r="F33" s="21" t="s">
        <v>154</v>
      </c>
    </row>
    <row r="34" spans="1:6" ht="20" customHeight="1" x14ac:dyDescent="0.15">
      <c r="A34" s="41"/>
      <c r="B34" s="36"/>
      <c r="D34" s="24"/>
      <c r="E34" s="24"/>
      <c r="F34" s="24"/>
    </row>
    <row r="35" spans="1:6" ht="20" customHeight="1" x14ac:dyDescent="0.15">
      <c r="A35" s="40" t="s">
        <v>23</v>
      </c>
      <c r="B35" s="41"/>
      <c r="D35" s="234" t="s">
        <v>0</v>
      </c>
      <c r="E35" s="234"/>
      <c r="F35" s="234"/>
    </row>
    <row r="36" spans="1:6" ht="20" customHeight="1" x14ac:dyDescent="0.15">
      <c r="A36" s="40" t="s">
        <v>24</v>
      </c>
      <c r="B36" s="44" t="s">
        <v>163</v>
      </c>
    </row>
    <row r="37" spans="1:6" ht="20" customHeight="1" x14ac:dyDescent="0.15">
      <c r="A37" s="40" t="s">
        <v>25</v>
      </c>
      <c r="B37" s="44" t="s">
        <v>163</v>
      </c>
      <c r="D37" s="235" t="s">
        <v>156</v>
      </c>
      <c r="E37" s="236"/>
      <c r="F37" s="237"/>
    </row>
    <row r="38" spans="1:6" ht="20" customHeight="1" x14ac:dyDescent="0.15">
      <c r="A38" s="40" t="s">
        <v>26</v>
      </c>
      <c r="B38" s="149">
        <v>0</v>
      </c>
      <c r="D38" s="207"/>
      <c r="E38" s="208"/>
      <c r="F38" s="209"/>
    </row>
    <row r="39" spans="1:6" ht="20" customHeight="1" x14ac:dyDescent="0.15">
      <c r="A39" s="36"/>
      <c r="B39" s="36"/>
      <c r="D39" s="200" t="s">
        <v>155</v>
      </c>
      <c r="E39" s="200" t="s">
        <v>160</v>
      </c>
      <c r="F39" s="200">
        <v>3</v>
      </c>
    </row>
    <row r="40" spans="1:6" x14ac:dyDescent="0.15">
      <c r="A40" s="241" t="s">
        <v>27</v>
      </c>
      <c r="B40" s="241"/>
      <c r="D40" s="201"/>
      <c r="E40" s="201"/>
      <c r="F40" s="201"/>
    </row>
    <row r="41" spans="1:6" ht="20" customHeight="1" x14ac:dyDescent="0.15">
      <c r="D41" s="221" t="s">
        <v>241</v>
      </c>
      <c r="E41" s="221"/>
      <c r="F41" s="26">
        <f>F39</f>
        <v>3</v>
      </c>
    </row>
    <row r="42" spans="1:6" ht="20" customHeight="1" x14ac:dyDescent="0.15">
      <c r="A42" s="45" t="s">
        <v>28</v>
      </c>
      <c r="B42" s="34">
        <v>3</v>
      </c>
      <c r="D42" s="165" t="s">
        <v>200</v>
      </c>
      <c r="E42" s="165"/>
      <c r="F42" s="25">
        <f>B19</f>
        <v>0</v>
      </c>
    </row>
    <row r="43" spans="1:6" ht="20" customHeight="1" x14ac:dyDescent="0.15">
      <c r="A43" s="45" t="s">
        <v>29</v>
      </c>
      <c r="B43" s="34">
        <v>3</v>
      </c>
      <c r="D43" s="25"/>
      <c r="E43" s="25" t="s">
        <v>162</v>
      </c>
      <c r="F43" s="28">
        <f>F42-F41</f>
        <v>-3</v>
      </c>
    </row>
    <row r="44" spans="1:6" ht="20" customHeight="1" x14ac:dyDescent="0.15">
      <c r="A44" s="45" t="s">
        <v>30</v>
      </c>
      <c r="B44" s="43" cm="1">
        <f t="array" ref="B44">B42-B43</f>
        <v>0</v>
      </c>
      <c r="D44" s="25"/>
      <c r="E44" s="25"/>
      <c r="F44" s="22"/>
    </row>
    <row r="45" spans="1:6" ht="20" customHeight="1" x14ac:dyDescent="0.15">
      <c r="A45" s="36"/>
      <c r="B45" s="36"/>
      <c r="D45" s="218"/>
      <c r="E45" s="218"/>
      <c r="F45" s="218"/>
    </row>
    <row r="46" spans="1:6" ht="20" customHeight="1" x14ac:dyDescent="0.15">
      <c r="A46" s="45" t="s">
        <v>31</v>
      </c>
      <c r="B46" s="34">
        <v>3</v>
      </c>
      <c r="D46" s="222" t="s">
        <v>13</v>
      </c>
      <c r="E46" s="222"/>
      <c r="F46" s="222"/>
    </row>
    <row r="47" spans="1:6" ht="20" customHeight="1" x14ac:dyDescent="0.15">
      <c r="A47" s="45" t="s">
        <v>32</v>
      </c>
      <c r="B47" s="34">
        <f>F61</f>
        <v>3</v>
      </c>
      <c r="D47" s="223"/>
      <c r="E47" s="223"/>
      <c r="F47" s="223"/>
    </row>
    <row r="48" spans="1:6" ht="20" customHeight="1" x14ac:dyDescent="0.15">
      <c r="A48" s="45" t="s">
        <v>33</v>
      </c>
      <c r="B48" s="146" cm="1">
        <f t="array" ref="B48">B46-B47</f>
        <v>0</v>
      </c>
      <c r="D48" s="172" t="s">
        <v>157</v>
      </c>
      <c r="E48" s="173"/>
      <c r="F48" s="174"/>
    </row>
    <row r="49" spans="1:6" ht="20" customHeight="1" x14ac:dyDescent="0.15">
      <c r="A49" s="39"/>
      <c r="B49" s="2"/>
      <c r="D49" s="229"/>
      <c r="E49" s="230"/>
      <c r="F49" s="231"/>
    </row>
    <row r="50" spans="1:6" ht="20" customHeight="1" x14ac:dyDescent="0.15">
      <c r="A50" s="241" t="s">
        <v>34</v>
      </c>
      <c r="B50" s="241"/>
      <c r="D50" s="200" t="s">
        <v>158</v>
      </c>
      <c r="E50" s="200" t="s">
        <v>159</v>
      </c>
      <c r="F50" s="200">
        <v>4</v>
      </c>
    </row>
    <row r="51" spans="1:6" ht="20" customHeight="1" x14ac:dyDescent="0.15">
      <c r="D51" s="201"/>
      <c r="E51" s="201"/>
      <c r="F51" s="201"/>
    </row>
    <row r="52" spans="1:6" ht="20" customHeight="1" x14ac:dyDescent="0.15">
      <c r="A52" s="40" t="s">
        <v>35</v>
      </c>
      <c r="B52" s="34">
        <v>120</v>
      </c>
      <c r="D52" s="221" t="s">
        <v>241</v>
      </c>
      <c r="E52" s="221"/>
      <c r="F52" s="27">
        <f>F50</f>
        <v>4</v>
      </c>
    </row>
    <row r="53" spans="1:6" ht="20" customHeight="1" x14ac:dyDescent="0.15">
      <c r="A53" s="40" t="s">
        <v>36</v>
      </c>
      <c r="B53" s="34">
        <v>135</v>
      </c>
      <c r="D53" s="165" t="s">
        <v>200</v>
      </c>
      <c r="E53" s="165"/>
      <c r="F53" s="23">
        <f>B33</f>
        <v>-1</v>
      </c>
    </row>
    <row r="54" spans="1:6" ht="20" customHeight="1" x14ac:dyDescent="0.15">
      <c r="A54" s="40" t="s">
        <v>37</v>
      </c>
      <c r="B54" s="131" cm="1">
        <f t="array" ref="B54">B52-B53</f>
        <v>-15</v>
      </c>
      <c r="D54" s="165" t="s">
        <v>162</v>
      </c>
      <c r="E54" s="165"/>
      <c r="F54" s="29">
        <f>F53-F52</f>
        <v>-5</v>
      </c>
    </row>
    <row r="55" spans="1:6" ht="20" customHeight="1" x14ac:dyDescent="0.15">
      <c r="A55" s="41"/>
      <c r="B55" s="36"/>
      <c r="D55" s="218"/>
      <c r="E55" s="218"/>
      <c r="F55" s="218"/>
    </row>
    <row r="56" spans="1:6" ht="20" customHeight="1" x14ac:dyDescent="0.15">
      <c r="A56" s="40" t="s">
        <v>38</v>
      </c>
      <c r="B56" s="34">
        <v>45</v>
      </c>
      <c r="D56" s="223"/>
      <c r="E56" s="223"/>
      <c r="F56" s="223"/>
    </row>
    <row r="57" spans="1:6" ht="20" customHeight="1" x14ac:dyDescent="0.15">
      <c r="A57" s="40" t="s">
        <v>39</v>
      </c>
      <c r="B57" s="34">
        <f>21+F124</f>
        <v>21</v>
      </c>
      <c r="D57" s="172" t="s">
        <v>161</v>
      </c>
      <c r="E57" s="173"/>
      <c r="F57" s="174"/>
    </row>
    <row r="58" spans="1:6" ht="20" customHeight="1" x14ac:dyDescent="0.15">
      <c r="A58" s="40" t="s">
        <v>40</v>
      </c>
      <c r="B58" s="46" cm="1">
        <f t="array" ref="B58">B56-B57</f>
        <v>24</v>
      </c>
      <c r="D58" s="224"/>
      <c r="E58" s="225"/>
      <c r="F58" s="226"/>
    </row>
    <row r="59" spans="1:6" ht="20" customHeight="1" x14ac:dyDescent="0.15">
      <c r="A59" s="41"/>
      <c r="B59" s="36"/>
      <c r="D59" s="227" t="s">
        <v>213</v>
      </c>
      <c r="E59" s="227" t="s">
        <v>214</v>
      </c>
      <c r="F59" s="227">
        <v>3</v>
      </c>
    </row>
    <row r="60" spans="1:6" ht="20" customHeight="1" x14ac:dyDescent="0.15">
      <c r="A60" s="40" t="s">
        <v>41</v>
      </c>
      <c r="B60" s="34">
        <v>30</v>
      </c>
      <c r="D60" s="228"/>
      <c r="E60" s="228"/>
      <c r="F60" s="228"/>
    </row>
    <row r="61" spans="1:6" ht="20" customHeight="1" x14ac:dyDescent="0.15">
      <c r="A61" s="40" t="s">
        <v>42</v>
      </c>
      <c r="B61" s="34">
        <f>9+F124</f>
        <v>9</v>
      </c>
      <c r="D61" s="221" t="s">
        <v>241</v>
      </c>
      <c r="E61" s="221"/>
      <c r="F61" s="27">
        <f>F59</f>
        <v>3</v>
      </c>
    </row>
    <row r="62" spans="1:6" ht="20" customHeight="1" x14ac:dyDescent="0.15">
      <c r="A62" s="40" t="s">
        <v>43</v>
      </c>
      <c r="B62" s="47" cm="1">
        <f t="array" ref="B62">B60-B61</f>
        <v>21</v>
      </c>
      <c r="D62" s="25"/>
      <c r="E62" s="25" t="s">
        <v>200</v>
      </c>
      <c r="F62" s="23">
        <f>B48</f>
        <v>0</v>
      </c>
    </row>
    <row r="63" spans="1:6" ht="20" customHeight="1" x14ac:dyDescent="0.15">
      <c r="A63" s="41"/>
      <c r="B63" s="36"/>
      <c r="D63" s="165" t="s">
        <v>162</v>
      </c>
      <c r="E63" s="165"/>
      <c r="F63" s="29">
        <f>F62-F61</f>
        <v>-3</v>
      </c>
    </row>
    <row r="64" spans="1:6" ht="20" customHeight="1" x14ac:dyDescent="0.15">
      <c r="A64" s="40" t="s">
        <v>44</v>
      </c>
      <c r="B64" s="34">
        <v>90</v>
      </c>
      <c r="D64" s="218"/>
      <c r="E64" s="218"/>
      <c r="F64" s="218"/>
    </row>
    <row r="65" spans="1:6" ht="20" customHeight="1" x14ac:dyDescent="0.15">
      <c r="A65" s="40" t="s">
        <v>45</v>
      </c>
      <c r="B65" s="34">
        <v>102</v>
      </c>
      <c r="D65" s="218"/>
      <c r="E65" s="218"/>
      <c r="F65" s="218"/>
    </row>
    <row r="66" spans="1:6" ht="20" customHeight="1" x14ac:dyDescent="0.15">
      <c r="A66" s="40" t="s">
        <v>46</v>
      </c>
      <c r="B66" s="131" cm="1">
        <f t="array" ref="B66">B64-B65</f>
        <v>-12</v>
      </c>
      <c r="D66" s="222" t="s">
        <v>164</v>
      </c>
      <c r="E66" s="222"/>
      <c r="F66" s="222"/>
    </row>
    <row r="67" spans="1:6" ht="20" customHeight="1" x14ac:dyDescent="0.15">
      <c r="D67" s="223"/>
      <c r="E67" s="223"/>
      <c r="F67" s="223"/>
    </row>
    <row r="68" spans="1:6" ht="20" customHeight="1" x14ac:dyDescent="0.15">
      <c r="D68" s="204" t="s">
        <v>165</v>
      </c>
      <c r="E68" s="205"/>
      <c r="F68" s="206"/>
    </row>
    <row r="69" spans="1:6" ht="20" customHeight="1" x14ac:dyDescent="0.15">
      <c r="D69" s="207"/>
      <c r="E69" s="208"/>
      <c r="F69" s="209"/>
    </row>
    <row r="70" spans="1:6" ht="20" customHeight="1" x14ac:dyDescent="0.15">
      <c r="A70" s="132" t="s">
        <v>260</v>
      </c>
      <c r="D70" s="200" t="s">
        <v>208</v>
      </c>
      <c r="E70" s="200" t="s">
        <v>89</v>
      </c>
      <c r="F70" s="200">
        <v>4</v>
      </c>
    </row>
    <row r="71" spans="1:6" ht="20" customHeight="1" x14ac:dyDescent="0.15">
      <c r="A71" s="150" t="s">
        <v>261</v>
      </c>
      <c r="D71" s="201"/>
      <c r="E71" s="201"/>
      <c r="F71" s="201"/>
    </row>
    <row r="72" spans="1:6" ht="20" customHeight="1" x14ac:dyDescent="0.15">
      <c r="A72" s="151" t="s">
        <v>263</v>
      </c>
      <c r="D72" s="158" t="s">
        <v>262</v>
      </c>
      <c r="E72" s="158" t="s">
        <v>77</v>
      </c>
      <c r="F72" s="158">
        <v>4</v>
      </c>
    </row>
    <row r="73" spans="1:6" ht="20" customHeight="1" x14ac:dyDescent="0.15">
      <c r="A73" s="152" t="s">
        <v>264</v>
      </c>
      <c r="D73" s="159"/>
      <c r="E73" s="159"/>
      <c r="F73" s="159"/>
    </row>
    <row r="74" spans="1:6" ht="20" customHeight="1" x14ac:dyDescent="0.15">
      <c r="A74" s="155" t="s">
        <v>267</v>
      </c>
      <c r="D74" s="172" t="s">
        <v>223</v>
      </c>
      <c r="E74" s="173"/>
      <c r="F74" s="174"/>
    </row>
    <row r="75" spans="1:6" ht="20" customHeight="1" x14ac:dyDescent="0.15">
      <c r="A75" s="153" t="s">
        <v>266</v>
      </c>
      <c r="D75" s="219" t="s">
        <v>206</v>
      </c>
      <c r="E75" s="219" t="s">
        <v>224</v>
      </c>
      <c r="F75" s="219">
        <v>4</v>
      </c>
    </row>
    <row r="76" spans="1:6" ht="20" customHeight="1" x14ac:dyDescent="0.15">
      <c r="A76" s="154" t="s">
        <v>265</v>
      </c>
      <c r="D76" s="220"/>
      <c r="E76" s="220"/>
      <c r="F76" s="220"/>
    </row>
    <row r="77" spans="1:6" ht="20" customHeight="1" x14ac:dyDescent="0.15">
      <c r="A77" s="156" t="s">
        <v>268</v>
      </c>
      <c r="D77" s="170" t="s">
        <v>207</v>
      </c>
      <c r="E77" s="170" t="s">
        <v>248</v>
      </c>
      <c r="F77" s="170">
        <v>4</v>
      </c>
    </row>
    <row r="78" spans="1:6" ht="20" customHeight="1" x14ac:dyDescent="0.15">
      <c r="D78" s="171"/>
      <c r="E78" s="171"/>
      <c r="F78" s="171"/>
    </row>
    <row r="79" spans="1:6" ht="20" customHeight="1" x14ac:dyDescent="0.15">
      <c r="D79" s="165" t="s">
        <v>200</v>
      </c>
      <c r="E79" s="165"/>
      <c r="F79" s="25">
        <f>E27</f>
        <v>16</v>
      </c>
    </row>
    <row r="80" spans="1:6" ht="20" customHeight="1" x14ac:dyDescent="0.15">
      <c r="D80" s="165" t="s">
        <v>241</v>
      </c>
      <c r="E80" s="165"/>
      <c r="F80" s="25">
        <f>E28</f>
        <v>4</v>
      </c>
    </row>
    <row r="81" spans="4:6" ht="20" customHeight="1" x14ac:dyDescent="0.15">
      <c r="D81" s="165" t="s">
        <v>162</v>
      </c>
      <c r="E81" s="165"/>
      <c r="F81" s="139">
        <f>E29</f>
        <v>12</v>
      </c>
    </row>
    <row r="83" spans="4:6" ht="20" customHeight="1" x14ac:dyDescent="0.15">
      <c r="D83" s="218"/>
      <c r="E83" s="218"/>
      <c r="F83" s="218"/>
    </row>
    <row r="84" spans="4:6" ht="20" customHeight="1" x14ac:dyDescent="0.15">
      <c r="D84" s="204" t="s">
        <v>47</v>
      </c>
      <c r="E84" s="205"/>
      <c r="F84" s="206"/>
    </row>
    <row r="85" spans="4:6" ht="20" customHeight="1" x14ac:dyDescent="0.15">
      <c r="D85" s="207" t="s">
        <v>166</v>
      </c>
      <c r="E85" s="208"/>
      <c r="F85" s="209"/>
    </row>
    <row r="86" spans="4:6" ht="20" customHeight="1" x14ac:dyDescent="0.15">
      <c r="D86" s="216" t="s">
        <v>49</v>
      </c>
      <c r="E86" s="216" t="s">
        <v>48</v>
      </c>
      <c r="F86" s="216">
        <v>4</v>
      </c>
    </row>
    <row r="87" spans="4:6" ht="20" customHeight="1" x14ac:dyDescent="0.15">
      <c r="D87" s="217"/>
      <c r="E87" s="217"/>
      <c r="F87" s="217"/>
    </row>
    <row r="88" spans="4:6" ht="20" customHeight="1" x14ac:dyDescent="0.15">
      <c r="D88" s="202" t="s">
        <v>62</v>
      </c>
      <c r="E88" s="202" t="s">
        <v>204</v>
      </c>
      <c r="F88" s="202">
        <v>4</v>
      </c>
    </row>
    <row r="89" spans="4:6" ht="20" customHeight="1" x14ac:dyDescent="0.15">
      <c r="D89" s="203"/>
      <c r="E89" s="203"/>
      <c r="F89" s="203"/>
    </row>
    <row r="90" spans="4:6" ht="20" customHeight="1" x14ac:dyDescent="0.15">
      <c r="D90" s="165" t="s">
        <v>200</v>
      </c>
      <c r="E90" s="165"/>
      <c r="F90" s="25">
        <f>E7</f>
        <v>8</v>
      </c>
    </row>
    <row r="91" spans="4:6" ht="20" customHeight="1" x14ac:dyDescent="0.15">
      <c r="D91" s="165" t="s">
        <v>242</v>
      </c>
      <c r="E91" s="165"/>
      <c r="F91" s="25">
        <f>E8</f>
        <v>4</v>
      </c>
    </row>
    <row r="92" spans="4:6" ht="20" customHeight="1" x14ac:dyDescent="0.15">
      <c r="D92" s="165" t="s">
        <v>162</v>
      </c>
      <c r="E92" s="165"/>
      <c r="F92" s="139">
        <f>E9</f>
        <v>4</v>
      </c>
    </row>
    <row r="94" spans="4:6" ht="20" customHeight="1" x14ac:dyDescent="0.15">
      <c r="D94" s="207" t="s">
        <v>167</v>
      </c>
      <c r="E94" s="208"/>
      <c r="F94" s="209"/>
    </row>
    <row r="95" spans="4:6" ht="20" customHeight="1" x14ac:dyDescent="0.15">
      <c r="D95" s="214" t="s">
        <v>110</v>
      </c>
      <c r="E95" s="214" t="s">
        <v>66</v>
      </c>
      <c r="F95" s="214">
        <f>+F99</f>
        <v>3</v>
      </c>
    </row>
    <row r="96" spans="4:6" ht="20" customHeight="1" x14ac:dyDescent="0.15">
      <c r="D96" s="215"/>
      <c r="E96" s="215"/>
      <c r="F96" s="215"/>
    </row>
    <row r="97" spans="4:6" ht="20" customHeight="1" x14ac:dyDescent="0.15">
      <c r="D97" s="202" t="s">
        <v>76</v>
      </c>
      <c r="E97" s="202" t="s">
        <v>75</v>
      </c>
      <c r="F97" s="202">
        <v>3</v>
      </c>
    </row>
    <row r="98" spans="4:6" ht="20" customHeight="1" x14ac:dyDescent="0.15">
      <c r="D98" s="203"/>
      <c r="E98" s="203"/>
      <c r="F98" s="203"/>
    </row>
    <row r="99" spans="4:6" ht="20" customHeight="1" x14ac:dyDescent="0.15">
      <c r="D99" s="202" t="s">
        <v>52</v>
      </c>
      <c r="E99" s="202" t="s">
        <v>61</v>
      </c>
      <c r="F99" s="202">
        <v>3</v>
      </c>
    </row>
    <row r="100" spans="4:6" ht="20" customHeight="1" x14ac:dyDescent="0.15">
      <c r="D100" s="203"/>
      <c r="E100" s="203"/>
      <c r="F100" s="203"/>
    </row>
    <row r="101" spans="4:6" ht="20" customHeight="1" x14ac:dyDescent="0.15">
      <c r="D101" s="214" t="s">
        <v>53</v>
      </c>
      <c r="E101" s="214" t="s">
        <v>68</v>
      </c>
      <c r="F101" s="214">
        <v>3</v>
      </c>
    </row>
    <row r="102" spans="4:6" ht="20" customHeight="1" x14ac:dyDescent="0.15">
      <c r="D102" s="215"/>
      <c r="E102" s="215"/>
      <c r="F102" s="215"/>
    </row>
    <row r="103" spans="4:6" ht="20" customHeight="1" x14ac:dyDescent="0.15">
      <c r="D103" s="212" t="s">
        <v>121</v>
      </c>
      <c r="E103" s="212" t="s">
        <v>72</v>
      </c>
      <c r="F103" s="212">
        <v>3</v>
      </c>
    </row>
    <row r="104" spans="4:6" ht="20" customHeight="1" x14ac:dyDescent="0.15">
      <c r="D104" s="213"/>
      <c r="E104" s="213"/>
      <c r="F104" s="213"/>
    </row>
    <row r="105" spans="4:6" ht="20" customHeight="1" x14ac:dyDescent="0.15">
      <c r="D105" s="212" t="s">
        <v>81</v>
      </c>
      <c r="E105" s="212" t="s">
        <v>197</v>
      </c>
      <c r="F105" s="212">
        <v>3</v>
      </c>
    </row>
    <row r="106" spans="4:6" ht="20" customHeight="1" x14ac:dyDescent="0.15">
      <c r="D106" s="213"/>
      <c r="E106" s="213"/>
      <c r="F106" s="213"/>
    </row>
    <row r="107" spans="4:6" ht="20" customHeight="1" x14ac:dyDescent="0.15">
      <c r="D107" s="212" t="s">
        <v>56</v>
      </c>
      <c r="E107" s="212" t="s">
        <v>198</v>
      </c>
      <c r="F107" s="212">
        <v>3</v>
      </c>
    </row>
    <row r="108" spans="4:6" ht="20" customHeight="1" x14ac:dyDescent="0.15">
      <c r="D108" s="213"/>
      <c r="E108" s="213"/>
      <c r="F108" s="213"/>
    </row>
    <row r="109" spans="4:6" ht="20" customHeight="1" x14ac:dyDescent="0.15">
      <c r="D109" s="196" t="s">
        <v>54</v>
      </c>
      <c r="E109" s="196" t="s">
        <v>168</v>
      </c>
      <c r="F109" s="196">
        <v>3</v>
      </c>
    </row>
    <row r="110" spans="4:6" ht="20" customHeight="1" x14ac:dyDescent="0.15">
      <c r="D110" s="197"/>
      <c r="E110" s="197"/>
      <c r="F110" s="197"/>
    </row>
    <row r="111" spans="4:6" ht="20" customHeight="1" x14ac:dyDescent="0.15">
      <c r="D111" s="212" t="s">
        <v>70</v>
      </c>
      <c r="E111" s="212" t="s">
        <v>69</v>
      </c>
      <c r="F111" s="212">
        <v>3</v>
      </c>
    </row>
    <row r="112" spans="4:6" ht="20" customHeight="1" x14ac:dyDescent="0.15">
      <c r="D112" s="213"/>
      <c r="E112" s="213"/>
      <c r="F112" s="213"/>
    </row>
    <row r="113" spans="4:6" ht="20" customHeight="1" x14ac:dyDescent="0.15">
      <c r="D113" s="196" t="s">
        <v>55</v>
      </c>
      <c r="E113" s="196" t="s">
        <v>169</v>
      </c>
      <c r="F113" s="196">
        <v>3</v>
      </c>
    </row>
    <row r="114" spans="4:6" ht="20" customHeight="1" x14ac:dyDescent="0.15">
      <c r="D114" s="197"/>
      <c r="E114" s="197"/>
      <c r="F114" s="197"/>
    </row>
    <row r="115" spans="4:6" ht="20" customHeight="1" x14ac:dyDescent="0.15">
      <c r="D115" s="190" t="s">
        <v>211</v>
      </c>
      <c r="E115" s="191"/>
      <c r="F115" s="192"/>
    </row>
    <row r="116" spans="4:6" ht="20" customHeight="1" x14ac:dyDescent="0.15">
      <c r="D116" s="193"/>
      <c r="E116" s="194"/>
      <c r="F116" s="195"/>
    </row>
    <row r="117" spans="4:6" ht="20" customHeight="1" x14ac:dyDescent="0.15">
      <c r="D117" s="196" t="s">
        <v>74</v>
      </c>
      <c r="E117" s="196" t="s">
        <v>73</v>
      </c>
      <c r="F117" s="196">
        <v>3</v>
      </c>
    </row>
    <row r="118" spans="4:6" ht="20" customHeight="1" x14ac:dyDescent="0.15">
      <c r="D118" s="197"/>
      <c r="E118" s="197"/>
      <c r="F118" s="197"/>
    </row>
    <row r="119" spans="4:6" ht="20" customHeight="1" x14ac:dyDescent="0.15">
      <c r="D119" s="196" t="s">
        <v>220</v>
      </c>
      <c r="E119" s="196" t="s">
        <v>249</v>
      </c>
      <c r="F119" s="196">
        <v>3</v>
      </c>
    </row>
    <row r="120" spans="4:6" ht="20" customHeight="1" x14ac:dyDescent="0.15">
      <c r="D120" s="197"/>
      <c r="E120" s="197"/>
      <c r="F120" s="197"/>
    </row>
    <row r="121" spans="4:6" ht="20" customHeight="1" x14ac:dyDescent="0.15">
      <c r="D121" s="188" t="s">
        <v>86</v>
      </c>
      <c r="E121" s="188" t="s">
        <v>199</v>
      </c>
      <c r="F121" s="188">
        <v>3</v>
      </c>
    </row>
    <row r="122" spans="4:6" ht="20" customHeight="1" x14ac:dyDescent="0.15">
      <c r="D122" s="189"/>
      <c r="E122" s="189"/>
      <c r="F122" s="189"/>
    </row>
    <row r="123" spans="4:6" ht="20" customHeight="1" x14ac:dyDescent="0.15">
      <c r="D123" s="165" t="s">
        <v>243</v>
      </c>
      <c r="E123" s="165"/>
      <c r="F123" s="25">
        <f>E11</f>
        <v>21</v>
      </c>
    </row>
    <row r="124" spans="4:6" ht="20" customHeight="1" x14ac:dyDescent="0.15">
      <c r="D124" s="165" t="s">
        <v>235</v>
      </c>
      <c r="E124" s="165"/>
      <c r="F124" s="25">
        <f>E12</f>
        <v>0</v>
      </c>
    </row>
    <row r="125" spans="4:6" ht="20" customHeight="1" x14ac:dyDescent="0.15">
      <c r="D125" s="165" t="s">
        <v>162</v>
      </c>
      <c r="E125" s="165"/>
      <c r="F125" s="139">
        <f>E13</f>
        <v>21</v>
      </c>
    </row>
    <row r="127" spans="4:6" ht="20" customHeight="1" x14ac:dyDescent="0.15">
      <c r="D127" s="165" t="s">
        <v>200</v>
      </c>
      <c r="E127" s="165"/>
      <c r="F127" s="25">
        <f>E3</f>
        <v>39</v>
      </c>
    </row>
    <row r="128" spans="4:6" ht="20" customHeight="1" x14ac:dyDescent="0.15">
      <c r="D128" s="165" t="s">
        <v>236</v>
      </c>
      <c r="E128" s="165"/>
      <c r="F128" s="25">
        <f>E4</f>
        <v>0</v>
      </c>
    </row>
    <row r="129" spans="4:6" ht="20" customHeight="1" x14ac:dyDescent="0.15">
      <c r="D129" s="165" t="s">
        <v>162</v>
      </c>
      <c r="E129" s="165"/>
      <c r="F129" s="139">
        <f>E5</f>
        <v>39</v>
      </c>
    </row>
    <row r="132" spans="4:6" ht="20" customHeight="1" x14ac:dyDescent="0.15">
      <c r="D132" s="204" t="s">
        <v>205</v>
      </c>
      <c r="E132" s="205"/>
      <c r="F132" s="206"/>
    </row>
    <row r="133" spans="4:6" ht="20" customHeight="1" x14ac:dyDescent="0.15">
      <c r="D133" s="207"/>
      <c r="E133" s="208"/>
      <c r="F133" s="209"/>
    </row>
    <row r="134" spans="4:6" ht="20" customHeight="1" x14ac:dyDescent="0.15">
      <c r="D134" s="175" t="s">
        <v>222</v>
      </c>
      <c r="E134" s="176"/>
      <c r="F134" s="177"/>
    </row>
    <row r="135" spans="4:6" ht="20" customHeight="1" x14ac:dyDescent="0.15">
      <c r="D135" s="200" t="s">
        <v>173</v>
      </c>
      <c r="E135" s="200" t="s">
        <v>174</v>
      </c>
      <c r="F135" s="200">
        <v>4</v>
      </c>
    </row>
    <row r="136" spans="4:6" ht="20" customHeight="1" x14ac:dyDescent="0.15">
      <c r="D136" s="201"/>
      <c r="E136" s="201"/>
      <c r="F136" s="201"/>
    </row>
    <row r="137" spans="4:6" ht="20" customHeight="1" x14ac:dyDescent="0.15">
      <c r="D137" s="198" t="s">
        <v>88</v>
      </c>
      <c r="E137" s="198" t="s">
        <v>212</v>
      </c>
      <c r="F137" s="198">
        <v>5</v>
      </c>
    </row>
    <row r="138" spans="4:6" ht="20" customHeight="1" x14ac:dyDescent="0.15">
      <c r="D138" s="199"/>
      <c r="E138" s="199"/>
      <c r="F138" s="199"/>
    </row>
    <row r="139" spans="4:6" ht="20" customHeight="1" x14ac:dyDescent="0.15">
      <c r="D139" s="158" t="s">
        <v>109</v>
      </c>
      <c r="E139" s="158" t="s">
        <v>215</v>
      </c>
      <c r="F139" s="158">
        <v>4</v>
      </c>
    </row>
    <row r="140" spans="4:6" ht="20" customHeight="1" x14ac:dyDescent="0.15">
      <c r="D140" s="159"/>
      <c r="E140" s="159"/>
      <c r="F140" s="159"/>
    </row>
    <row r="141" spans="4:6" ht="20" customHeight="1" x14ac:dyDescent="0.15">
      <c r="D141" s="165" t="s">
        <v>200</v>
      </c>
      <c r="E141" s="165"/>
      <c r="F141" s="49">
        <f>E19</f>
        <v>13</v>
      </c>
    </row>
    <row r="142" spans="4:6" ht="20" customHeight="1" x14ac:dyDescent="0.15">
      <c r="D142" s="165" t="s">
        <v>237</v>
      </c>
      <c r="E142" s="165"/>
      <c r="F142" s="49">
        <f>E20</f>
        <v>13</v>
      </c>
    </row>
    <row r="143" spans="4:6" ht="20" customHeight="1" x14ac:dyDescent="0.15">
      <c r="D143" s="165" t="s">
        <v>162</v>
      </c>
      <c r="E143" s="165"/>
      <c r="F143" s="50">
        <f>E21</f>
        <v>0</v>
      </c>
    </row>
    <row r="145" spans="4:6" ht="20" customHeight="1" x14ac:dyDescent="0.15">
      <c r="D145" s="172" t="s">
        <v>225</v>
      </c>
      <c r="E145" s="173"/>
      <c r="F145" s="174"/>
    </row>
    <row r="146" spans="4:6" ht="20" customHeight="1" x14ac:dyDescent="0.15">
      <c r="D146" s="198" t="s">
        <v>175</v>
      </c>
      <c r="E146" s="198" t="s">
        <v>176</v>
      </c>
      <c r="F146" s="198">
        <v>4</v>
      </c>
    </row>
    <row r="147" spans="4:6" ht="20" customHeight="1" x14ac:dyDescent="0.15">
      <c r="D147" s="199"/>
      <c r="E147" s="199"/>
      <c r="F147" s="199"/>
    </row>
    <row r="148" spans="4:6" ht="20" customHeight="1" x14ac:dyDescent="0.15">
      <c r="D148" s="158" t="s">
        <v>217</v>
      </c>
      <c r="E148" s="158" t="s">
        <v>216</v>
      </c>
      <c r="F148" s="158">
        <v>4</v>
      </c>
    </row>
    <row r="149" spans="4:6" ht="20" customHeight="1" x14ac:dyDescent="0.15">
      <c r="D149" s="159"/>
      <c r="E149" s="159"/>
      <c r="F149" s="159"/>
    </row>
    <row r="150" spans="4:6" ht="20" customHeight="1" x14ac:dyDescent="0.15">
      <c r="D150" s="158" t="s">
        <v>177</v>
      </c>
      <c r="E150" s="158" t="s">
        <v>178</v>
      </c>
      <c r="F150" s="158">
        <v>3</v>
      </c>
    </row>
    <row r="151" spans="4:6" ht="20" customHeight="1" x14ac:dyDescent="0.15">
      <c r="D151" s="159"/>
      <c r="E151" s="159"/>
      <c r="F151" s="159"/>
    </row>
    <row r="152" spans="4:6" ht="20" customHeight="1" x14ac:dyDescent="0.15">
      <c r="D152" s="196" t="s">
        <v>150</v>
      </c>
      <c r="E152" s="196" t="s">
        <v>221</v>
      </c>
      <c r="F152" s="196">
        <v>3</v>
      </c>
    </row>
    <row r="153" spans="4:6" ht="20" customHeight="1" x14ac:dyDescent="0.15">
      <c r="D153" s="197"/>
      <c r="E153" s="197"/>
      <c r="F153" s="197"/>
    </row>
    <row r="154" spans="4:6" ht="20" customHeight="1" x14ac:dyDescent="0.15">
      <c r="D154" s="210" t="s">
        <v>218</v>
      </c>
      <c r="E154" s="210" t="s">
        <v>219</v>
      </c>
      <c r="F154" s="210">
        <v>4</v>
      </c>
    </row>
    <row r="155" spans="4:6" ht="20" customHeight="1" x14ac:dyDescent="0.15">
      <c r="D155" s="211"/>
      <c r="E155" s="211"/>
      <c r="F155" s="211"/>
    </row>
    <row r="156" spans="4:6" ht="20" customHeight="1" x14ac:dyDescent="0.15">
      <c r="D156" s="165" t="s">
        <v>200</v>
      </c>
      <c r="E156" s="165"/>
      <c r="F156" s="114">
        <f>E23</f>
        <v>18</v>
      </c>
    </row>
    <row r="157" spans="4:6" ht="20" customHeight="1" x14ac:dyDescent="0.15">
      <c r="D157" s="165" t="s">
        <v>244</v>
      </c>
      <c r="E157" s="165"/>
      <c r="F157" s="25">
        <f>E24</f>
        <v>11</v>
      </c>
    </row>
    <row r="158" spans="4:6" ht="20" customHeight="1" x14ac:dyDescent="0.15">
      <c r="D158" s="165" t="s">
        <v>162</v>
      </c>
      <c r="E158" s="165"/>
      <c r="F158" s="145">
        <f>E25</f>
        <v>7</v>
      </c>
    </row>
    <row r="160" spans="4:6" ht="20" customHeight="1" x14ac:dyDescent="0.15">
      <c r="D160" s="165" t="s">
        <v>200</v>
      </c>
      <c r="E160" s="165"/>
      <c r="F160" s="49">
        <f>E15</f>
        <v>54</v>
      </c>
    </row>
    <row r="161" spans="4:6" ht="20" customHeight="1" x14ac:dyDescent="0.15">
      <c r="D161" s="165" t="s">
        <v>253</v>
      </c>
      <c r="E161" s="165"/>
      <c r="F161" s="25">
        <f>E16</f>
        <v>28</v>
      </c>
    </row>
    <row r="162" spans="4:6" ht="20" customHeight="1" x14ac:dyDescent="0.15">
      <c r="D162" s="165" t="s">
        <v>162</v>
      </c>
      <c r="E162" s="165"/>
      <c r="F162" s="144">
        <f>E17</f>
        <v>26</v>
      </c>
    </row>
    <row r="164" spans="4:6" ht="20" customHeight="1" x14ac:dyDescent="0.15">
      <c r="D164" s="3"/>
      <c r="E164" s="3"/>
      <c r="F164" s="3"/>
    </row>
    <row r="165" spans="4:6" ht="20" customHeight="1" x14ac:dyDescent="0.15">
      <c r="D165" s="160" t="s">
        <v>255</v>
      </c>
      <c r="E165" s="161"/>
      <c r="F165" s="147">
        <v>30</v>
      </c>
    </row>
    <row r="166" spans="4:6" ht="20" customHeight="1" x14ac:dyDescent="0.15">
      <c r="D166" s="160" t="s">
        <v>254</v>
      </c>
      <c r="E166" s="161"/>
      <c r="F166" s="147">
        <v>11</v>
      </c>
    </row>
    <row r="167" spans="4:6" ht="20" customHeight="1" x14ac:dyDescent="0.15">
      <c r="D167" s="160" t="s">
        <v>256</v>
      </c>
      <c r="E167" s="161"/>
      <c r="F167" s="148">
        <f>F165-F166</f>
        <v>19</v>
      </c>
    </row>
    <row r="168" spans="4:6" ht="20" customHeight="1" x14ac:dyDescent="0.15">
      <c r="D168" s="162"/>
      <c r="E168" s="162"/>
      <c r="F168" s="3"/>
    </row>
    <row r="169" spans="4:6" ht="20" customHeight="1" x14ac:dyDescent="0.15">
      <c r="D169" s="160" t="s">
        <v>257</v>
      </c>
      <c r="E169" s="161"/>
      <c r="F169" s="147">
        <f>F39+F50+F59+F70+F75+F77+F86+F88+F95+F97+F99+F101+F103+F105+F107+F109+F111+F113+F117+F119+F121+F135+F137+F139+F146+F148+F150+F152+F154+F72</f>
        <v>104</v>
      </c>
    </row>
    <row r="170" spans="4:6" ht="20" customHeight="1" x14ac:dyDescent="0.15">
      <c r="D170" s="160" t="s">
        <v>258</v>
      </c>
      <c r="E170" s="161"/>
      <c r="F170" s="147">
        <f>F39+F50+F59+F70+F86+F135+F137+F139+F146+F148+F150</f>
        <v>42</v>
      </c>
    </row>
    <row r="171" spans="4:6" ht="20" customHeight="1" x14ac:dyDescent="0.15">
      <c r="D171" s="160" t="s">
        <v>259</v>
      </c>
      <c r="E171" s="161"/>
      <c r="F171" s="148">
        <f>F169-F170</f>
        <v>62</v>
      </c>
    </row>
    <row r="172" spans="4:6" ht="20" customHeight="1" x14ac:dyDescent="0.15">
      <c r="D172" s="157"/>
      <c r="E172" s="157"/>
    </row>
    <row r="173" spans="4:6" ht="20" customHeight="1" x14ac:dyDescent="0.15">
      <c r="D173" s="157"/>
      <c r="E173" s="157"/>
    </row>
    <row r="174" spans="4:6" ht="20" customHeight="1" x14ac:dyDescent="0.15">
      <c r="D174" s="157"/>
      <c r="E174" s="157"/>
    </row>
    <row r="175" spans="4:6" ht="20" customHeight="1" x14ac:dyDescent="0.15">
      <c r="D175" s="157"/>
      <c r="E175" s="157"/>
    </row>
    <row r="176" spans="4:6" ht="20" customHeight="1" x14ac:dyDescent="0.15">
      <c r="D176" s="157"/>
      <c r="E176" s="157"/>
    </row>
    <row r="177" spans="4:5" ht="20" customHeight="1" x14ac:dyDescent="0.15">
      <c r="D177" s="157"/>
      <c r="E177" s="157"/>
    </row>
    <row r="178" spans="4:5" ht="20" customHeight="1" x14ac:dyDescent="0.15">
      <c r="D178" s="157"/>
      <c r="E178" s="157"/>
    </row>
    <row r="179" spans="4:5" ht="20" customHeight="1" x14ac:dyDescent="0.15">
      <c r="D179" s="157"/>
      <c r="E179" s="157"/>
    </row>
    <row r="180" spans="4:5" ht="20" customHeight="1" x14ac:dyDescent="0.15">
      <c r="D180" s="157"/>
      <c r="E180" s="157"/>
    </row>
  </sheetData>
  <mergeCells count="193">
    <mergeCell ref="A4:B4"/>
    <mergeCell ref="A3:B3"/>
    <mergeCell ref="A21:B21"/>
    <mergeCell ref="A40:B40"/>
    <mergeCell ref="A50:B50"/>
    <mergeCell ref="F70:F71"/>
    <mergeCell ref="E70:E71"/>
    <mergeCell ref="D70:D71"/>
    <mergeCell ref="D42:E42"/>
    <mergeCell ref="D41:E41"/>
    <mergeCell ref="F39:F40"/>
    <mergeCell ref="E39:E40"/>
    <mergeCell ref="D39:D40"/>
    <mergeCell ref="D38:F38"/>
    <mergeCell ref="D37:F37"/>
    <mergeCell ref="D35:F35"/>
    <mergeCell ref="D1:F1"/>
    <mergeCell ref="D32:F32"/>
    <mergeCell ref="E25:F25"/>
    <mergeCell ref="D53:E53"/>
    <mergeCell ref="D45:F45"/>
    <mergeCell ref="D46:F46"/>
    <mergeCell ref="D47:F47"/>
    <mergeCell ref="D48:F48"/>
    <mergeCell ref="D49:F49"/>
    <mergeCell ref="D50:D51"/>
    <mergeCell ref="E50:E51"/>
    <mergeCell ref="F50:F51"/>
    <mergeCell ref="D52:E52"/>
    <mergeCell ref="D54:E54"/>
    <mergeCell ref="D55:F56"/>
    <mergeCell ref="D57:F57"/>
    <mergeCell ref="D58:F58"/>
    <mergeCell ref="D59:D60"/>
    <mergeCell ref="E59:E60"/>
    <mergeCell ref="F59:F60"/>
    <mergeCell ref="D61:E61"/>
    <mergeCell ref="D63:E63"/>
    <mergeCell ref="D64:F65"/>
    <mergeCell ref="D66:F66"/>
    <mergeCell ref="D67:F67"/>
    <mergeCell ref="D68:F68"/>
    <mergeCell ref="D69:F69"/>
    <mergeCell ref="D79:E79"/>
    <mergeCell ref="D81:E81"/>
    <mergeCell ref="D83:F83"/>
    <mergeCell ref="D84:F84"/>
    <mergeCell ref="D74:F74"/>
    <mergeCell ref="D75:D76"/>
    <mergeCell ref="E75:E76"/>
    <mergeCell ref="F75:F76"/>
    <mergeCell ref="D77:D78"/>
    <mergeCell ref="E77:E78"/>
    <mergeCell ref="D85:F85"/>
    <mergeCell ref="D86:D87"/>
    <mergeCell ref="E86:E87"/>
    <mergeCell ref="F86:F87"/>
    <mergeCell ref="D88:D89"/>
    <mergeCell ref="E88:E89"/>
    <mergeCell ref="F88:F89"/>
    <mergeCell ref="D91:E91"/>
    <mergeCell ref="D80:E80"/>
    <mergeCell ref="D94:F94"/>
    <mergeCell ref="D95:D96"/>
    <mergeCell ref="E95:E96"/>
    <mergeCell ref="F95:F96"/>
    <mergeCell ref="D99:D100"/>
    <mergeCell ref="E99:E100"/>
    <mergeCell ref="F99:F100"/>
    <mergeCell ref="D101:D102"/>
    <mergeCell ref="E101:E102"/>
    <mergeCell ref="F101:F102"/>
    <mergeCell ref="D111:D112"/>
    <mergeCell ref="E111:E112"/>
    <mergeCell ref="F111:F112"/>
    <mergeCell ref="D113:D114"/>
    <mergeCell ref="E113:E114"/>
    <mergeCell ref="F113:F114"/>
    <mergeCell ref="D103:D104"/>
    <mergeCell ref="E103:E104"/>
    <mergeCell ref="F103:F104"/>
    <mergeCell ref="D105:D106"/>
    <mergeCell ref="E105:E106"/>
    <mergeCell ref="F105:F106"/>
    <mergeCell ref="D107:D108"/>
    <mergeCell ref="E107:E108"/>
    <mergeCell ref="F107:F108"/>
    <mergeCell ref="D165:E165"/>
    <mergeCell ref="D166:E166"/>
    <mergeCell ref="D154:D155"/>
    <mergeCell ref="E154:E155"/>
    <mergeCell ref="F154:F155"/>
    <mergeCell ref="D146:D147"/>
    <mergeCell ref="E146:E147"/>
    <mergeCell ref="F146:F147"/>
    <mergeCell ref="D161:E161"/>
    <mergeCell ref="D160:E160"/>
    <mergeCell ref="D162:E162"/>
    <mergeCell ref="D157:E157"/>
    <mergeCell ref="D117:D118"/>
    <mergeCell ref="E117:E118"/>
    <mergeCell ref="F117:F118"/>
    <mergeCell ref="D119:D120"/>
    <mergeCell ref="E119:E120"/>
    <mergeCell ref="D124:E124"/>
    <mergeCell ref="D123:E123"/>
    <mergeCell ref="D125:E125"/>
    <mergeCell ref="D128:E128"/>
    <mergeCell ref="D127:E127"/>
    <mergeCell ref="D129:E129"/>
    <mergeCell ref="D132:F132"/>
    <mergeCell ref="D133:F133"/>
    <mergeCell ref="D152:D153"/>
    <mergeCell ref="E152:E153"/>
    <mergeCell ref="F152:F153"/>
    <mergeCell ref="D139:D140"/>
    <mergeCell ref="E139:E140"/>
    <mergeCell ref="F139:F140"/>
    <mergeCell ref="D137:D138"/>
    <mergeCell ref="E137:E138"/>
    <mergeCell ref="F137:F138"/>
    <mergeCell ref="E14:F14"/>
    <mergeCell ref="E6:F6"/>
    <mergeCell ref="E10:F10"/>
    <mergeCell ref="E19:F19"/>
    <mergeCell ref="E20:F20"/>
    <mergeCell ref="E21:F21"/>
    <mergeCell ref="E23:F23"/>
    <mergeCell ref="E24:F24"/>
    <mergeCell ref="D142:E142"/>
    <mergeCell ref="D141:E141"/>
    <mergeCell ref="D121:D122"/>
    <mergeCell ref="E121:E122"/>
    <mergeCell ref="F121:F122"/>
    <mergeCell ref="D115:F116"/>
    <mergeCell ref="D135:D136"/>
    <mergeCell ref="E135:E136"/>
    <mergeCell ref="F135:F136"/>
    <mergeCell ref="F119:F120"/>
    <mergeCell ref="D97:D98"/>
    <mergeCell ref="E97:E98"/>
    <mergeCell ref="F97:F98"/>
    <mergeCell ref="D109:D110"/>
    <mergeCell ref="E109:E110"/>
    <mergeCell ref="F109:F110"/>
    <mergeCell ref="A2:B2"/>
    <mergeCell ref="D2:F2"/>
    <mergeCell ref="D90:E90"/>
    <mergeCell ref="D92:E92"/>
    <mergeCell ref="E27:F27"/>
    <mergeCell ref="E28:F28"/>
    <mergeCell ref="E29:F29"/>
    <mergeCell ref="D156:E156"/>
    <mergeCell ref="D158:E158"/>
    <mergeCell ref="F77:F78"/>
    <mergeCell ref="D145:F145"/>
    <mergeCell ref="D134:F134"/>
    <mergeCell ref="E3:F3"/>
    <mergeCell ref="E4:F4"/>
    <mergeCell ref="E5:F5"/>
    <mergeCell ref="E7:F7"/>
    <mergeCell ref="E8:F8"/>
    <mergeCell ref="E9:F9"/>
    <mergeCell ref="E11:F11"/>
    <mergeCell ref="E12:F12"/>
    <mergeCell ref="E13:F13"/>
    <mergeCell ref="E15:F15"/>
    <mergeCell ref="E16:F16"/>
    <mergeCell ref="E17:F17"/>
    <mergeCell ref="D176:E176"/>
    <mergeCell ref="D177:E177"/>
    <mergeCell ref="D178:E178"/>
    <mergeCell ref="D179:E179"/>
    <mergeCell ref="D180:E180"/>
    <mergeCell ref="D72:D73"/>
    <mergeCell ref="E72:E73"/>
    <mergeCell ref="F72:F73"/>
    <mergeCell ref="D167:E167"/>
    <mergeCell ref="D168:E168"/>
    <mergeCell ref="D169:E169"/>
    <mergeCell ref="D170:E170"/>
    <mergeCell ref="D171:E171"/>
    <mergeCell ref="D172:E172"/>
    <mergeCell ref="D173:E173"/>
    <mergeCell ref="D174:E174"/>
    <mergeCell ref="D175:E175"/>
    <mergeCell ref="D143:E143"/>
    <mergeCell ref="D148:D149"/>
    <mergeCell ref="E148:E149"/>
    <mergeCell ref="F148:F149"/>
    <mergeCell ref="D150:D151"/>
    <mergeCell ref="E150:E151"/>
    <mergeCell ref="F150:F151"/>
  </mergeCells>
  <conditionalFormatting sqref="B19 B33 B48">
    <cfRule type="cellIs" dxfId="1" priority="1" operator="lessThanOrEqual">
      <formula>0</formula>
    </cfRule>
  </conditionalFormatting>
  <conditionalFormatting sqref="E5:F5 B7 E9:F9 B11 E13:F13 B15 E17:F17 E21:F21 B25 E25:F25 B29 E29:F29 B38 A42 F43 B44 B54 F54 B58 B62 F63 B66 F81 F92 F125 F129 F143 F158 F162 F167 F171">
    <cfRule type="cellIs" dxfId="0" priority="2" operator="lessThanOrEqual">
      <formula>0</formula>
    </cfRule>
  </conditionalFormatting>
  <pageMargins left="0.5" right="0.5" top="0.75" bottom="0.75" header="0.27777800000000002" footer="0.27777800000000002"/>
  <pageSetup scale="72"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19638-CC79-2642-9673-BBA5CDD52EC7}">
  <sheetPr>
    <pageSetUpPr fitToPage="1"/>
  </sheetPr>
  <dimension ref="A1:F194"/>
  <sheetViews>
    <sheetView topLeftCell="A105" zoomScale="131" workbookViewId="0">
      <selection activeCell="B130" sqref="B130"/>
    </sheetView>
  </sheetViews>
  <sheetFormatPr baseColWidth="10" defaultColWidth="15.83203125" defaultRowHeight="13" x14ac:dyDescent="0.15"/>
  <cols>
    <col min="1" max="1" width="15.83203125" style="76" customWidth="1"/>
    <col min="2" max="6" width="15.83203125" style="73" customWidth="1"/>
    <col min="7" max="16384" width="15.83203125" style="73"/>
  </cols>
  <sheetData>
    <row r="1" spans="1:5" s="124" customFormat="1" ht="42" x14ac:dyDescent="0.15">
      <c r="A1" s="123" t="s">
        <v>103</v>
      </c>
      <c r="B1" s="124" t="s">
        <v>50</v>
      </c>
    </row>
    <row r="2" spans="1:5" s="11" customFormat="1" x14ac:dyDescent="0.15">
      <c r="A2" s="64"/>
    </row>
    <row r="3" spans="1:5" s="126" customFormat="1" ht="14" x14ac:dyDescent="0.15">
      <c r="A3" s="125" t="s">
        <v>201</v>
      </c>
      <c r="B3" s="126" t="s">
        <v>196</v>
      </c>
    </row>
    <row r="4" spans="1:5" s="11" customFormat="1" x14ac:dyDescent="0.15">
      <c r="A4" s="64"/>
    </row>
    <row r="5" spans="1:5" s="126" customFormat="1" ht="28" x14ac:dyDescent="0.15">
      <c r="A5" s="127" t="s">
        <v>210</v>
      </c>
      <c r="B5" s="126" t="s">
        <v>62</v>
      </c>
    </row>
    <row r="6" spans="1:5" s="9" customFormat="1" x14ac:dyDescent="0.15">
      <c r="A6" s="62"/>
    </row>
    <row r="7" spans="1:5" s="9" customFormat="1" ht="14" x14ac:dyDescent="0.15">
      <c r="A7" s="62"/>
      <c r="B7" s="9" t="s">
        <v>58</v>
      </c>
    </row>
    <row r="8" spans="1:5" s="9" customFormat="1" ht="28" x14ac:dyDescent="0.15">
      <c r="A8" s="62"/>
      <c r="B8" s="122" t="s">
        <v>106</v>
      </c>
      <c r="C8" s="121" t="s">
        <v>107</v>
      </c>
    </row>
    <row r="10" spans="1:5" s="9" customFormat="1" ht="14" x14ac:dyDescent="0.15">
      <c r="A10" s="62"/>
      <c r="B10" s="48"/>
      <c r="C10" s="9" t="s">
        <v>58</v>
      </c>
    </row>
    <row r="11" spans="1:5" s="9" customFormat="1" ht="28" x14ac:dyDescent="0.15">
      <c r="A11" s="62"/>
      <c r="B11" s="48"/>
      <c r="C11" s="10" t="s">
        <v>99</v>
      </c>
      <c r="D11" s="9" t="s">
        <v>93</v>
      </c>
    </row>
    <row r="12" spans="1:5" s="9" customFormat="1" ht="28" x14ac:dyDescent="0.15">
      <c r="A12" s="62"/>
      <c r="B12" s="48"/>
      <c r="C12" s="122" t="s">
        <v>100</v>
      </c>
      <c r="D12" s="121" t="s">
        <v>113</v>
      </c>
    </row>
    <row r="13" spans="1:5" s="9" customFormat="1" x14ac:dyDescent="0.15">
      <c r="A13" s="62"/>
      <c r="B13" s="48"/>
      <c r="C13" s="10"/>
    </row>
    <row r="14" spans="1:5" s="9" customFormat="1" ht="14" x14ac:dyDescent="0.15">
      <c r="A14" s="62"/>
      <c r="B14" s="48"/>
      <c r="C14" s="10"/>
      <c r="D14" s="9" t="s">
        <v>58</v>
      </c>
    </row>
    <row r="15" spans="1:5" s="9" customFormat="1" ht="28" x14ac:dyDescent="0.15">
      <c r="A15" s="62"/>
      <c r="B15" s="48"/>
      <c r="C15" s="10"/>
      <c r="D15" s="48" t="s">
        <v>98</v>
      </c>
      <c r="E15" s="9" t="s">
        <v>92</v>
      </c>
    </row>
    <row r="16" spans="1:5" s="9" customFormat="1" ht="28" x14ac:dyDescent="0.15">
      <c r="A16" s="62"/>
      <c r="B16" s="48"/>
      <c r="C16" s="10"/>
      <c r="D16" s="10" t="s">
        <v>97</v>
      </c>
      <c r="E16" s="9" t="s">
        <v>91</v>
      </c>
    </row>
    <row r="17" spans="1:6" s="9" customFormat="1" x14ac:dyDescent="0.15">
      <c r="A17" s="62"/>
      <c r="B17" s="48"/>
      <c r="C17" s="10"/>
    </row>
    <row r="18" spans="1:6" s="9" customFormat="1" ht="14" x14ac:dyDescent="0.15">
      <c r="A18" s="62"/>
      <c r="B18" s="48"/>
      <c r="C18" s="10"/>
      <c r="E18" s="9" t="s">
        <v>189</v>
      </c>
    </row>
    <row r="19" spans="1:6" s="9" customFormat="1" ht="28" x14ac:dyDescent="0.15">
      <c r="A19" s="62"/>
      <c r="B19" s="48"/>
      <c r="C19" s="10"/>
      <c r="E19" s="10" t="s">
        <v>101</v>
      </c>
      <c r="F19" s="9" t="s">
        <v>202</v>
      </c>
    </row>
    <row r="20" spans="1:6" s="9" customFormat="1" x14ac:dyDescent="0.15">
      <c r="A20" s="62"/>
      <c r="B20" s="48"/>
      <c r="C20" s="10"/>
    </row>
    <row r="21" spans="1:6" s="9" customFormat="1" ht="14" x14ac:dyDescent="0.15">
      <c r="A21" s="62"/>
      <c r="B21" s="48"/>
      <c r="C21" s="10"/>
      <c r="D21" s="10" t="s">
        <v>95</v>
      </c>
      <c r="E21" s="9" t="s">
        <v>203</v>
      </c>
    </row>
    <row r="22" spans="1:6" s="9" customFormat="1" x14ac:dyDescent="0.15">
      <c r="A22" s="62"/>
      <c r="B22" s="48"/>
      <c r="C22" s="10"/>
    </row>
    <row r="23" spans="1:6" s="9" customFormat="1" ht="14" x14ac:dyDescent="0.15">
      <c r="A23" s="62"/>
      <c r="B23" s="48"/>
      <c r="C23" s="10"/>
      <c r="E23" s="9" t="s">
        <v>58</v>
      </c>
    </row>
    <row r="24" spans="1:6" s="9" customFormat="1" ht="14" x14ac:dyDescent="0.15">
      <c r="A24" s="62"/>
      <c r="B24" s="48"/>
      <c r="C24" s="10"/>
      <c r="E24" s="10" t="s">
        <v>96</v>
      </c>
      <c r="F24" s="9" t="s">
        <v>90</v>
      </c>
    </row>
    <row r="25" spans="1:6" s="9" customFormat="1" ht="28" x14ac:dyDescent="0.15">
      <c r="A25" s="62"/>
      <c r="B25" s="48"/>
      <c r="C25" s="10"/>
      <c r="E25" s="10" t="s">
        <v>97</v>
      </c>
      <c r="F25" s="9" t="s">
        <v>91</v>
      </c>
    </row>
    <row r="26" spans="1:6" s="9" customFormat="1" ht="28" x14ac:dyDescent="0.15">
      <c r="A26" s="62"/>
      <c r="B26" s="48"/>
      <c r="C26" s="10"/>
      <c r="E26" s="10" t="s">
        <v>98</v>
      </c>
      <c r="F26" s="9" t="s">
        <v>92</v>
      </c>
    </row>
    <row r="27" spans="1:6" s="9" customFormat="1" x14ac:dyDescent="0.15">
      <c r="A27" s="62"/>
      <c r="B27" s="48"/>
      <c r="C27" s="10"/>
    </row>
    <row r="28" spans="1:6" s="9" customFormat="1" ht="14" x14ac:dyDescent="0.15">
      <c r="A28" s="62"/>
      <c r="B28" s="48"/>
      <c r="C28" s="10" t="s">
        <v>95</v>
      </c>
      <c r="D28" s="9" t="s">
        <v>88</v>
      </c>
    </row>
    <row r="29" spans="1:6" s="9" customFormat="1" x14ac:dyDescent="0.15">
      <c r="A29" s="62"/>
      <c r="B29" s="10"/>
    </row>
    <row r="30" spans="1:6" s="9" customFormat="1" ht="14" x14ac:dyDescent="0.15">
      <c r="A30" s="62"/>
      <c r="B30" s="10" t="s">
        <v>108</v>
      </c>
      <c r="C30" s="9" t="s">
        <v>179</v>
      </c>
    </row>
    <row r="31" spans="1:6" s="9" customFormat="1" x14ac:dyDescent="0.15">
      <c r="A31" s="62"/>
      <c r="B31" s="10"/>
    </row>
    <row r="32" spans="1:6" s="9" customFormat="1" x14ac:dyDescent="0.15">
      <c r="A32" s="62"/>
    </row>
    <row r="33" spans="1:3" s="12" customFormat="1" x14ac:dyDescent="0.15">
      <c r="A33" s="65"/>
    </row>
    <row r="34" spans="1:3" s="55" customFormat="1" ht="28" x14ac:dyDescent="0.15">
      <c r="A34" s="100" t="s">
        <v>111</v>
      </c>
      <c r="B34" s="55" t="s">
        <v>110</v>
      </c>
    </row>
    <row r="35" spans="1:3" s="9" customFormat="1" x14ac:dyDescent="0.15">
      <c r="A35" s="63"/>
    </row>
    <row r="36" spans="1:3" s="9" customFormat="1" ht="14" x14ac:dyDescent="0.15">
      <c r="A36" s="63"/>
      <c r="B36" s="9" t="s">
        <v>58</v>
      </c>
    </row>
    <row r="37" spans="1:3" s="9" customFormat="1" ht="42" x14ac:dyDescent="0.15">
      <c r="A37" s="63"/>
      <c r="B37" s="10" t="s">
        <v>103</v>
      </c>
      <c r="C37" s="9" t="s">
        <v>50</v>
      </c>
    </row>
    <row r="38" spans="1:3" s="9" customFormat="1" x14ac:dyDescent="0.15">
      <c r="A38" s="63"/>
      <c r="B38" s="10"/>
    </row>
    <row r="39" spans="1:3" s="9" customFormat="1" ht="28" x14ac:dyDescent="0.15">
      <c r="B39" s="99" t="s">
        <v>104</v>
      </c>
      <c r="C39" s="8" t="s">
        <v>62</v>
      </c>
    </row>
    <row r="40" spans="1:3" s="9" customFormat="1" x14ac:dyDescent="0.15">
      <c r="B40" s="10"/>
    </row>
    <row r="41" spans="1:3" s="9" customFormat="1" ht="56" x14ac:dyDescent="0.15">
      <c r="B41" s="10" t="s">
        <v>114</v>
      </c>
      <c r="C41" s="9" t="s">
        <v>192</v>
      </c>
    </row>
    <row r="42" spans="1:3" s="9" customFormat="1" x14ac:dyDescent="0.15">
      <c r="B42" s="10"/>
    </row>
    <row r="43" spans="1:3" s="9" customFormat="1" ht="14" x14ac:dyDescent="0.15">
      <c r="B43" s="10" t="s">
        <v>115</v>
      </c>
      <c r="C43" s="9" t="s">
        <v>105</v>
      </c>
    </row>
    <row r="44" spans="1:3" s="9" customFormat="1" x14ac:dyDescent="0.15">
      <c r="A44" s="63"/>
    </row>
    <row r="45" spans="1:3" s="12" customFormat="1" x14ac:dyDescent="0.15">
      <c r="A45" s="65"/>
    </row>
    <row r="46" spans="1:3" s="57" customFormat="1" ht="28" x14ac:dyDescent="0.15">
      <c r="A46" s="101" t="s">
        <v>94</v>
      </c>
      <c r="B46" s="4" t="s">
        <v>49</v>
      </c>
    </row>
    <row r="47" spans="1:3" s="9" customFormat="1" x14ac:dyDescent="0.15">
      <c r="A47" s="66"/>
      <c r="B47" s="6"/>
    </row>
    <row r="48" spans="1:3" s="9" customFormat="1" ht="14" x14ac:dyDescent="0.15">
      <c r="A48" s="66"/>
      <c r="B48" s="6" t="s">
        <v>58</v>
      </c>
    </row>
    <row r="49" spans="1:3" s="9" customFormat="1" ht="28" x14ac:dyDescent="0.15">
      <c r="A49" s="66"/>
      <c r="B49" s="7" t="s">
        <v>100</v>
      </c>
      <c r="C49" s="8" t="s">
        <v>113</v>
      </c>
    </row>
    <row r="50" spans="1:3" s="9" customFormat="1" x14ac:dyDescent="0.15">
      <c r="A50" s="66"/>
      <c r="B50" s="5"/>
    </row>
    <row r="51" spans="1:3" s="9" customFormat="1" ht="28" x14ac:dyDescent="0.15">
      <c r="A51" s="66"/>
      <c r="B51" s="5" t="s">
        <v>99</v>
      </c>
      <c r="C51" s="9" t="s">
        <v>93</v>
      </c>
    </row>
    <row r="52" spans="1:3" s="9" customFormat="1" x14ac:dyDescent="0.15">
      <c r="A52" s="66"/>
      <c r="B52" s="5"/>
    </row>
    <row r="53" spans="1:3" s="9" customFormat="1" ht="14" x14ac:dyDescent="0.15">
      <c r="A53" s="66"/>
      <c r="B53" s="5" t="s">
        <v>95</v>
      </c>
      <c r="C53" s="9" t="s">
        <v>88</v>
      </c>
    </row>
    <row r="54" spans="1:3" s="12" customFormat="1" x14ac:dyDescent="0.15">
      <c r="A54" s="65"/>
    </row>
    <row r="55" spans="1:3" s="57" customFormat="1" ht="42" x14ac:dyDescent="0.15">
      <c r="A55" s="104" t="s">
        <v>129</v>
      </c>
      <c r="B55" s="51" t="s">
        <v>76</v>
      </c>
    </row>
    <row r="56" spans="1:3" s="9" customFormat="1" x14ac:dyDescent="0.15">
      <c r="A56" s="68"/>
      <c r="B56" s="13"/>
    </row>
    <row r="57" spans="1:3" s="9" customFormat="1" ht="14" x14ac:dyDescent="0.15">
      <c r="A57" s="68"/>
      <c r="B57" s="13" t="s">
        <v>65</v>
      </c>
    </row>
    <row r="58" spans="1:3" s="9" customFormat="1" ht="28" x14ac:dyDescent="0.15">
      <c r="A58" s="68"/>
      <c r="B58" s="120" t="s">
        <v>140</v>
      </c>
      <c r="C58" s="121" t="s">
        <v>141</v>
      </c>
    </row>
    <row r="59" spans="1:3" s="9" customFormat="1" ht="14" x14ac:dyDescent="0.15">
      <c r="A59" s="68"/>
      <c r="B59" s="19" t="s">
        <v>67</v>
      </c>
    </row>
    <row r="60" spans="1:3" s="9" customFormat="1" ht="28" x14ac:dyDescent="0.15">
      <c r="A60" s="68"/>
      <c r="B60" s="102" t="s">
        <v>106</v>
      </c>
      <c r="C60" s="8" t="s">
        <v>107</v>
      </c>
    </row>
    <row r="61" spans="1:3" s="9" customFormat="1" ht="14" x14ac:dyDescent="0.15">
      <c r="A61" s="68"/>
      <c r="B61" s="14" t="s">
        <v>108</v>
      </c>
      <c r="C61" s="9" t="s">
        <v>109</v>
      </c>
    </row>
    <row r="62" spans="1:3" s="9" customFormat="1" x14ac:dyDescent="0.15">
      <c r="A62" s="68"/>
      <c r="B62" s="13"/>
    </row>
    <row r="63" spans="1:3" s="12" customFormat="1" x14ac:dyDescent="0.15">
      <c r="A63" s="69"/>
      <c r="B63" s="70"/>
    </row>
    <row r="64" spans="1:3" s="58" customFormat="1" ht="14" x14ac:dyDescent="0.15">
      <c r="A64" s="103" t="s">
        <v>116</v>
      </c>
      <c r="B64" s="71" t="s">
        <v>52</v>
      </c>
    </row>
    <row r="65" spans="1:3" s="9" customFormat="1" x14ac:dyDescent="0.15">
      <c r="A65" s="72"/>
      <c r="B65" s="13"/>
    </row>
    <row r="66" spans="1:3" s="9" customFormat="1" ht="14" x14ac:dyDescent="0.15">
      <c r="A66" s="72"/>
      <c r="B66" s="13" t="s">
        <v>195</v>
      </c>
    </row>
    <row r="67" spans="1:3" s="9" customFormat="1" ht="28" x14ac:dyDescent="0.15">
      <c r="A67" s="72"/>
      <c r="B67" s="118" t="s">
        <v>193</v>
      </c>
      <c r="C67" s="8" t="s">
        <v>62</v>
      </c>
    </row>
    <row r="68" spans="1:3" s="9" customFormat="1" x14ac:dyDescent="0.15">
      <c r="A68" s="72"/>
      <c r="B68" s="14"/>
      <c r="C68" s="10"/>
    </row>
    <row r="69" spans="1:3" s="9" customFormat="1" ht="42" x14ac:dyDescent="0.15">
      <c r="A69" s="72"/>
      <c r="B69" s="14" t="s">
        <v>103</v>
      </c>
      <c r="C69" s="9" t="s">
        <v>50</v>
      </c>
    </row>
    <row r="70" spans="1:3" s="9" customFormat="1" x14ac:dyDescent="0.15">
      <c r="A70" s="72"/>
      <c r="B70" s="14"/>
      <c r="C70" s="10"/>
    </row>
    <row r="71" spans="1:3" s="9" customFormat="1" ht="14" x14ac:dyDescent="0.15">
      <c r="A71" s="72"/>
      <c r="B71" s="14" t="s">
        <v>115</v>
      </c>
      <c r="C71" s="9" t="s">
        <v>105</v>
      </c>
    </row>
    <row r="72" spans="1:3" s="9" customFormat="1" x14ac:dyDescent="0.15">
      <c r="A72" s="72"/>
      <c r="B72" s="13"/>
    </row>
    <row r="73" spans="1:3" s="12" customFormat="1" x14ac:dyDescent="0.15">
      <c r="A73" s="69"/>
      <c r="B73" s="70"/>
    </row>
    <row r="74" spans="1:3" s="59" customFormat="1" ht="42" x14ac:dyDescent="0.15">
      <c r="A74" s="107" t="s">
        <v>118</v>
      </c>
      <c r="B74" s="15" t="s">
        <v>53</v>
      </c>
    </row>
    <row r="75" spans="1:3" s="9" customFormat="1" x14ac:dyDescent="0.15">
      <c r="A75" s="72"/>
      <c r="B75" s="13"/>
    </row>
    <row r="76" spans="1:3" s="9" customFormat="1" ht="14" x14ac:dyDescent="0.15">
      <c r="A76" s="72"/>
      <c r="B76" s="13" t="s">
        <v>58</v>
      </c>
    </row>
    <row r="77" spans="1:3" s="9" customFormat="1" ht="14" x14ac:dyDescent="0.15">
      <c r="A77" s="72"/>
      <c r="B77" s="14" t="s">
        <v>117</v>
      </c>
      <c r="C77" s="9" t="s">
        <v>52</v>
      </c>
    </row>
    <row r="78" spans="1:3" s="9" customFormat="1" ht="14" x14ac:dyDescent="0.15">
      <c r="A78" s="95"/>
      <c r="B78" s="115" t="s">
        <v>116</v>
      </c>
      <c r="C78" s="105" t="s">
        <v>52</v>
      </c>
    </row>
    <row r="79" spans="1:3" s="9" customFormat="1" ht="28" x14ac:dyDescent="0.15">
      <c r="A79" s="72"/>
      <c r="B79" s="14" t="s">
        <v>119</v>
      </c>
      <c r="C79" s="9" t="s">
        <v>194</v>
      </c>
    </row>
    <row r="80" spans="1:3" s="9" customFormat="1" x14ac:dyDescent="0.15">
      <c r="A80" s="72"/>
      <c r="B80" s="13"/>
    </row>
    <row r="81" spans="1:3" s="12" customFormat="1" x14ac:dyDescent="0.15">
      <c r="A81" s="69"/>
      <c r="B81" s="70"/>
    </row>
    <row r="82" spans="1:3" s="57" customFormat="1" ht="14" x14ac:dyDescent="0.15">
      <c r="A82" s="104" t="s">
        <v>120</v>
      </c>
      <c r="B82" s="18" t="s">
        <v>121</v>
      </c>
    </row>
    <row r="83" spans="1:3" s="9" customFormat="1" x14ac:dyDescent="0.15">
      <c r="A83" s="63"/>
    </row>
    <row r="84" spans="1:3" s="9" customFormat="1" ht="14" x14ac:dyDescent="0.15">
      <c r="A84" s="63"/>
      <c r="B84" s="9" t="s">
        <v>58</v>
      </c>
    </row>
    <row r="85" spans="1:3" s="9" customFormat="1" ht="28" x14ac:dyDescent="0.15">
      <c r="A85" s="63"/>
      <c r="B85" s="99" t="s">
        <v>94</v>
      </c>
      <c r="C85" s="8" t="s">
        <v>49</v>
      </c>
    </row>
    <row r="86" spans="1:3" ht="14" x14ac:dyDescent="0.15">
      <c r="B86" s="106" t="s">
        <v>67</v>
      </c>
    </row>
    <row r="87" spans="1:3" s="9" customFormat="1" ht="14" x14ac:dyDescent="0.15">
      <c r="A87" s="63"/>
      <c r="B87" s="115" t="s">
        <v>116</v>
      </c>
      <c r="C87" s="105" t="s">
        <v>52</v>
      </c>
    </row>
    <row r="88" spans="1:3" s="9" customFormat="1" ht="28" x14ac:dyDescent="0.15">
      <c r="B88" s="14" t="s">
        <v>119</v>
      </c>
      <c r="C88" s="9" t="s">
        <v>194</v>
      </c>
    </row>
    <row r="89" spans="1:3" s="9" customFormat="1" x14ac:dyDescent="0.15">
      <c r="B89" s="14"/>
    </row>
    <row r="90" spans="1:3" s="9" customFormat="1" ht="14" x14ac:dyDescent="0.15">
      <c r="B90" s="13" t="s">
        <v>189</v>
      </c>
    </row>
    <row r="91" spans="1:3" s="9" customFormat="1" ht="28" x14ac:dyDescent="0.15">
      <c r="B91" s="99" t="s">
        <v>111</v>
      </c>
      <c r="C91" s="8" t="s">
        <v>51</v>
      </c>
    </row>
    <row r="92" spans="1:3" s="9" customFormat="1" x14ac:dyDescent="0.15">
      <c r="B92" s="10"/>
    </row>
    <row r="93" spans="1:3" s="12" customFormat="1" x14ac:dyDescent="0.15">
      <c r="A93" s="65"/>
    </row>
    <row r="94" spans="1:3" s="57" customFormat="1" ht="28" x14ac:dyDescent="0.15">
      <c r="A94" s="104" t="s">
        <v>125</v>
      </c>
      <c r="B94" s="18" t="s">
        <v>81</v>
      </c>
    </row>
    <row r="95" spans="1:3" s="9" customFormat="1" x14ac:dyDescent="0.15">
      <c r="A95" s="63"/>
    </row>
    <row r="96" spans="1:3" s="9" customFormat="1" ht="14" x14ac:dyDescent="0.15">
      <c r="A96" s="63"/>
      <c r="B96" s="9" t="s">
        <v>65</v>
      </c>
    </row>
    <row r="97" spans="1:4" s="9" customFormat="1" ht="14" x14ac:dyDescent="0.15">
      <c r="A97" s="63"/>
      <c r="B97" s="99" t="s">
        <v>120</v>
      </c>
      <c r="C97" s="8" t="s">
        <v>121</v>
      </c>
    </row>
    <row r="98" spans="1:4" s="9" customFormat="1" ht="14" x14ac:dyDescent="0.15">
      <c r="B98" s="56" t="s">
        <v>67</v>
      </c>
    </row>
    <row r="99" spans="1:4" s="9" customFormat="1" ht="42" x14ac:dyDescent="0.15">
      <c r="B99" s="99" t="s">
        <v>118</v>
      </c>
      <c r="C99" s="8" t="s">
        <v>146</v>
      </c>
    </row>
    <row r="100" spans="1:4" s="9" customFormat="1" ht="28" x14ac:dyDescent="0.15">
      <c r="A100" s="63"/>
      <c r="B100" s="10" t="s">
        <v>148</v>
      </c>
      <c r="C100" s="9" t="s">
        <v>149</v>
      </c>
    </row>
    <row r="101" spans="1:4" s="9" customFormat="1" x14ac:dyDescent="0.15">
      <c r="A101" s="63"/>
      <c r="B101" s="10"/>
    </row>
    <row r="102" spans="1:4" s="12" customFormat="1" x14ac:dyDescent="0.15">
      <c r="A102" s="65"/>
    </row>
    <row r="103" spans="1:4" s="75" customFormat="1" ht="56" x14ac:dyDescent="0.15">
      <c r="A103" s="74" t="s">
        <v>142</v>
      </c>
      <c r="B103" s="52" t="s">
        <v>143</v>
      </c>
    </row>
    <row r="104" spans="1:4" s="79" customFormat="1" x14ac:dyDescent="0.15">
      <c r="A104" s="78"/>
    </row>
    <row r="105" spans="1:4" s="75" customFormat="1" ht="56" x14ac:dyDescent="0.15">
      <c r="A105" s="108" t="s">
        <v>126</v>
      </c>
      <c r="B105" s="52" t="s">
        <v>143</v>
      </c>
    </row>
    <row r="107" spans="1:4" ht="14" x14ac:dyDescent="0.15">
      <c r="B107" s="73" t="s">
        <v>58</v>
      </c>
    </row>
    <row r="108" spans="1:4" ht="14" x14ac:dyDescent="0.15">
      <c r="B108" s="14" t="s">
        <v>117</v>
      </c>
      <c r="C108" s="9" t="s">
        <v>52</v>
      </c>
    </row>
    <row r="109" spans="1:4" ht="14" x14ac:dyDescent="0.15">
      <c r="B109" s="115" t="s">
        <v>116</v>
      </c>
      <c r="C109" s="105" t="s">
        <v>52</v>
      </c>
      <c r="D109" s="9"/>
    </row>
    <row r="110" spans="1:4" ht="28" x14ac:dyDescent="0.15">
      <c r="B110" s="14" t="s">
        <v>119</v>
      </c>
      <c r="C110" s="9" t="s">
        <v>194</v>
      </c>
    </row>
    <row r="111" spans="1:4" x14ac:dyDescent="0.15">
      <c r="B111" s="14"/>
      <c r="C111" s="9"/>
    </row>
    <row r="112" spans="1:4" s="81" customFormat="1" x14ac:dyDescent="0.15">
      <c r="A112" s="80"/>
    </row>
    <row r="113" spans="1:4" s="75" customFormat="1" ht="14" x14ac:dyDescent="0.15">
      <c r="A113" s="108" t="s">
        <v>122</v>
      </c>
      <c r="B113" s="52" t="s">
        <v>54</v>
      </c>
    </row>
    <row r="115" spans="1:4" ht="14" x14ac:dyDescent="0.15">
      <c r="B115" s="73" t="s">
        <v>58</v>
      </c>
    </row>
    <row r="116" spans="1:4" ht="14" x14ac:dyDescent="0.15">
      <c r="B116" s="109" t="s">
        <v>120</v>
      </c>
      <c r="C116" s="110" t="s">
        <v>121</v>
      </c>
    </row>
    <row r="117" spans="1:4" x14ac:dyDescent="0.15">
      <c r="B117" s="14"/>
    </row>
    <row r="118" spans="1:4" s="81" customFormat="1" x14ac:dyDescent="0.15">
      <c r="A118" s="80"/>
    </row>
    <row r="119" spans="1:4" s="57" customFormat="1" ht="28" x14ac:dyDescent="0.15">
      <c r="A119" s="104" t="s">
        <v>127</v>
      </c>
      <c r="B119" s="18" t="s">
        <v>147</v>
      </c>
    </row>
    <row r="120" spans="1:4" s="9" customFormat="1" x14ac:dyDescent="0.15">
      <c r="A120" s="68"/>
      <c r="B120" s="13"/>
    </row>
    <row r="121" spans="1:4" s="9" customFormat="1" ht="14" x14ac:dyDescent="0.15">
      <c r="A121" s="68"/>
      <c r="B121" s="13" t="s">
        <v>71</v>
      </c>
    </row>
    <row r="122" spans="1:4" s="9" customFormat="1" ht="14" x14ac:dyDescent="0.15">
      <c r="A122" s="68"/>
      <c r="B122" s="14" t="s">
        <v>117</v>
      </c>
      <c r="C122" s="9" t="s">
        <v>52</v>
      </c>
    </row>
    <row r="123" spans="1:4" s="9" customFormat="1" ht="14" x14ac:dyDescent="0.15">
      <c r="A123" s="68"/>
      <c r="B123" s="115" t="s">
        <v>116</v>
      </c>
      <c r="C123" s="105" t="s">
        <v>52</v>
      </c>
    </row>
    <row r="124" spans="1:4" s="9" customFormat="1" ht="14" x14ac:dyDescent="0.15">
      <c r="A124" s="68"/>
      <c r="B124" s="19" t="s">
        <v>67</v>
      </c>
    </row>
    <row r="125" spans="1:4" s="9" customFormat="1" ht="14" x14ac:dyDescent="0.15">
      <c r="A125" s="68"/>
      <c r="B125" s="109" t="s">
        <v>120</v>
      </c>
      <c r="C125" s="110" t="s">
        <v>121</v>
      </c>
      <c r="D125" s="73"/>
    </row>
    <row r="126" spans="1:4" s="9" customFormat="1" ht="42" x14ac:dyDescent="0.15">
      <c r="A126" s="68"/>
      <c r="B126" s="115" t="s">
        <v>118</v>
      </c>
      <c r="C126" s="105" t="s">
        <v>53</v>
      </c>
    </row>
    <row r="127" spans="1:4" s="9" customFormat="1" ht="14" x14ac:dyDescent="0.15">
      <c r="A127" s="68"/>
      <c r="B127" s="19" t="s">
        <v>67</v>
      </c>
    </row>
    <row r="128" spans="1:4" s="9" customFormat="1" x14ac:dyDescent="0.15">
      <c r="A128" s="68"/>
      <c r="B128" s="14"/>
    </row>
    <row r="129" spans="1:6" s="9" customFormat="1" ht="42" x14ac:dyDescent="0.15">
      <c r="A129" s="68"/>
      <c r="B129" s="120" t="s">
        <v>188</v>
      </c>
      <c r="C129" s="121" t="s">
        <v>187</v>
      </c>
    </row>
    <row r="130" spans="1:6" s="9" customFormat="1" x14ac:dyDescent="0.15">
      <c r="A130" s="68"/>
      <c r="B130" s="13"/>
    </row>
    <row r="131" spans="1:6" s="11" customFormat="1" x14ac:dyDescent="0.15">
      <c r="A131" s="82"/>
      <c r="B131" s="83"/>
    </row>
    <row r="132" spans="1:6" s="57" customFormat="1" ht="14" x14ac:dyDescent="0.15">
      <c r="A132" s="67" t="s">
        <v>181</v>
      </c>
      <c r="B132" s="18" t="s">
        <v>150</v>
      </c>
    </row>
    <row r="133" spans="1:6" s="81" customFormat="1" x14ac:dyDescent="0.15">
      <c r="A133" s="80"/>
    </row>
    <row r="134" spans="1:6" s="55" customFormat="1" ht="42" x14ac:dyDescent="0.15">
      <c r="A134" s="119" t="s">
        <v>123</v>
      </c>
      <c r="B134" s="85" t="s">
        <v>55</v>
      </c>
    </row>
    <row r="135" spans="1:6" s="9" customFormat="1" x14ac:dyDescent="0.15">
      <c r="A135" s="86"/>
      <c r="B135" s="16"/>
    </row>
    <row r="136" spans="1:6" s="9" customFormat="1" ht="14" x14ac:dyDescent="0.15">
      <c r="A136" s="86"/>
      <c r="B136" s="16" t="s">
        <v>58</v>
      </c>
    </row>
    <row r="137" spans="1:6" s="9" customFormat="1" ht="28" x14ac:dyDescent="0.15">
      <c r="A137" s="95"/>
      <c r="B137" s="17" t="s">
        <v>125</v>
      </c>
      <c r="C137" s="13" t="s">
        <v>81</v>
      </c>
    </row>
    <row r="138" spans="1:6" s="9" customFormat="1" ht="14" x14ac:dyDescent="0.15">
      <c r="A138" s="96"/>
      <c r="B138" s="116" t="s">
        <v>122</v>
      </c>
      <c r="C138" s="111" t="s">
        <v>54</v>
      </c>
      <c r="D138" s="97"/>
      <c r="E138" s="98"/>
    </row>
    <row r="139" spans="1:6" s="11" customFormat="1" x14ac:dyDescent="0.15">
      <c r="A139" s="82"/>
      <c r="B139" s="83"/>
    </row>
    <row r="140" spans="1:6" s="55" customFormat="1" ht="42" x14ac:dyDescent="0.15">
      <c r="A140" s="84" t="s">
        <v>124</v>
      </c>
      <c r="B140" s="85" t="s">
        <v>63</v>
      </c>
    </row>
    <row r="141" spans="1:6" s="12" customFormat="1" x14ac:dyDescent="0.15">
      <c r="A141" s="65"/>
    </row>
    <row r="142" spans="1:6" s="57" customFormat="1" ht="42" x14ac:dyDescent="0.15">
      <c r="A142" s="67" t="s">
        <v>209</v>
      </c>
      <c r="B142" s="18" t="s">
        <v>64</v>
      </c>
    </row>
    <row r="143" spans="1:6" s="11" customFormat="1" x14ac:dyDescent="0.15">
      <c r="A143" s="82"/>
      <c r="B143" s="83"/>
    </row>
    <row r="144" spans="1:6" s="89" customFormat="1" ht="28" x14ac:dyDescent="0.15">
      <c r="A144" s="113" t="s">
        <v>128</v>
      </c>
      <c r="B144" s="88" t="s">
        <v>74</v>
      </c>
      <c r="C144" s="61"/>
      <c r="D144" s="61"/>
      <c r="E144" s="61"/>
      <c r="F144" s="61"/>
    </row>
    <row r="145" spans="1:6" x14ac:dyDescent="0.15">
      <c r="A145" s="90"/>
      <c r="B145" s="91"/>
      <c r="C145" s="54"/>
      <c r="D145" s="54"/>
      <c r="E145" s="54"/>
      <c r="F145" s="54"/>
    </row>
    <row r="146" spans="1:6" ht="14" x14ac:dyDescent="0.15">
      <c r="A146" s="90"/>
      <c r="B146" s="91" t="s">
        <v>58</v>
      </c>
      <c r="C146" s="54"/>
      <c r="D146" s="54"/>
      <c r="E146" s="54"/>
      <c r="F146" s="54"/>
    </row>
    <row r="147" spans="1:6" ht="28" x14ac:dyDescent="0.15">
      <c r="A147" s="90"/>
      <c r="B147" s="117" t="s">
        <v>127</v>
      </c>
      <c r="C147" s="112" t="s">
        <v>147</v>
      </c>
      <c r="D147" s="54"/>
      <c r="E147" s="54"/>
      <c r="F147" s="54"/>
    </row>
    <row r="148" spans="1:6" x14ac:dyDescent="0.15">
      <c r="A148" s="90"/>
      <c r="B148" s="91"/>
      <c r="C148" s="54"/>
      <c r="D148" s="54"/>
      <c r="E148" s="54"/>
      <c r="F148" s="54"/>
    </row>
    <row r="149" spans="1:6" s="79" customFormat="1" x14ac:dyDescent="0.15">
      <c r="A149" s="92"/>
      <c r="B149" s="93"/>
      <c r="C149" s="60"/>
      <c r="D149" s="60"/>
      <c r="E149" s="60"/>
      <c r="F149" s="60"/>
    </row>
    <row r="150" spans="1:6" s="89" customFormat="1" ht="14" x14ac:dyDescent="0.15">
      <c r="A150" s="87" t="s">
        <v>133</v>
      </c>
      <c r="B150" s="88" t="s">
        <v>82</v>
      </c>
      <c r="C150" s="61"/>
      <c r="D150" s="61"/>
      <c r="E150" s="61"/>
      <c r="F150" s="61"/>
    </row>
    <row r="151" spans="1:6" s="79" customFormat="1" x14ac:dyDescent="0.15">
      <c r="A151" s="92"/>
      <c r="B151" s="93"/>
      <c r="C151" s="60"/>
      <c r="D151" s="60"/>
      <c r="E151" s="60"/>
      <c r="F151" s="60"/>
    </row>
    <row r="152" spans="1:6" s="89" customFormat="1" ht="28" x14ac:dyDescent="0.15">
      <c r="A152" s="130" t="s">
        <v>134</v>
      </c>
      <c r="B152" s="88" t="s">
        <v>83</v>
      </c>
      <c r="C152" s="61"/>
      <c r="D152" s="61"/>
      <c r="E152" s="61"/>
      <c r="F152" s="61"/>
    </row>
    <row r="153" spans="1:6" s="79" customFormat="1" x14ac:dyDescent="0.15">
      <c r="A153" s="78"/>
    </row>
    <row r="154" spans="1:6" s="89" customFormat="1" ht="28" x14ac:dyDescent="0.15">
      <c r="A154" s="130" t="s">
        <v>135</v>
      </c>
      <c r="B154" s="88" t="s">
        <v>84</v>
      </c>
      <c r="C154" s="61"/>
      <c r="D154" s="61"/>
      <c r="E154" s="61"/>
      <c r="F154" s="61"/>
    </row>
    <row r="155" spans="1:6" s="79" customFormat="1" x14ac:dyDescent="0.15">
      <c r="A155" s="78"/>
    </row>
    <row r="156" spans="1:6" s="89" customFormat="1" ht="42" x14ac:dyDescent="0.15">
      <c r="A156" s="87" t="s">
        <v>136</v>
      </c>
      <c r="B156" s="88" t="s">
        <v>85</v>
      </c>
      <c r="C156" s="61"/>
      <c r="D156" s="61"/>
      <c r="E156" s="61"/>
      <c r="F156" s="61"/>
    </row>
    <row r="157" spans="1:6" s="79" customFormat="1" x14ac:dyDescent="0.15">
      <c r="A157" s="78"/>
    </row>
    <row r="158" spans="1:6" s="89" customFormat="1" ht="42" x14ac:dyDescent="0.15">
      <c r="A158" s="130" t="s">
        <v>182</v>
      </c>
      <c r="B158" s="88" t="s">
        <v>183</v>
      </c>
      <c r="C158" s="61"/>
      <c r="D158" s="61"/>
      <c r="E158" s="61"/>
      <c r="F158" s="61"/>
    </row>
    <row r="159" spans="1:6" s="79" customFormat="1" x14ac:dyDescent="0.15">
      <c r="A159" s="78"/>
    </row>
    <row r="160" spans="1:6" s="89" customFormat="1" ht="42" x14ac:dyDescent="0.15">
      <c r="A160" s="87" t="s">
        <v>184</v>
      </c>
      <c r="B160" s="88" t="s">
        <v>180</v>
      </c>
      <c r="C160" s="61"/>
      <c r="D160" s="61"/>
      <c r="E160" s="61"/>
      <c r="F160" s="61"/>
    </row>
    <row r="161" spans="1:6" s="79" customFormat="1" x14ac:dyDescent="0.15">
      <c r="A161" s="78"/>
    </row>
    <row r="162" spans="1:6" s="89" customFormat="1" ht="28" x14ac:dyDescent="0.15">
      <c r="A162" s="87" t="s">
        <v>130</v>
      </c>
      <c r="B162" s="88" t="s">
        <v>78</v>
      </c>
      <c r="C162" s="61"/>
      <c r="D162" s="61"/>
      <c r="E162" s="61"/>
      <c r="F162" s="61"/>
    </row>
    <row r="163" spans="1:6" s="79" customFormat="1" x14ac:dyDescent="0.15">
      <c r="A163" s="78"/>
    </row>
    <row r="164" spans="1:6" s="89" customFormat="1" ht="28" x14ac:dyDescent="0.15">
      <c r="A164" s="113" t="s">
        <v>144</v>
      </c>
      <c r="B164" s="88" t="s">
        <v>145</v>
      </c>
      <c r="C164" s="61"/>
      <c r="D164" s="61"/>
      <c r="E164" s="61"/>
      <c r="F164" s="61"/>
    </row>
    <row r="166" spans="1:6" ht="14" x14ac:dyDescent="0.15">
      <c r="B166" s="73" t="s">
        <v>65</v>
      </c>
    </row>
    <row r="167" spans="1:6" ht="28" x14ac:dyDescent="0.15">
      <c r="B167" s="109" t="s">
        <v>104</v>
      </c>
      <c r="C167" s="110" t="s">
        <v>62</v>
      </c>
    </row>
    <row r="168" spans="1:6" ht="14" x14ac:dyDescent="0.15">
      <c r="B168" s="77" t="s">
        <v>115</v>
      </c>
      <c r="C168" s="73" t="s">
        <v>105</v>
      </c>
    </row>
    <row r="169" spans="1:6" ht="14" x14ac:dyDescent="0.15">
      <c r="B169" s="53" t="s">
        <v>67</v>
      </c>
    </row>
    <row r="170" spans="1:6" ht="56" x14ac:dyDescent="0.15">
      <c r="B170" s="128" t="s">
        <v>114</v>
      </c>
      <c r="C170" s="129" t="s">
        <v>112</v>
      </c>
    </row>
    <row r="171" spans="1:6" x14ac:dyDescent="0.15">
      <c r="B171" s="39"/>
    </row>
    <row r="172" spans="1:6" ht="14" x14ac:dyDescent="0.15">
      <c r="B172" s="73" t="s">
        <v>190</v>
      </c>
    </row>
    <row r="173" spans="1:6" ht="28" x14ac:dyDescent="0.15">
      <c r="B173" s="109" t="s">
        <v>111</v>
      </c>
      <c r="C173" s="110" t="s">
        <v>51</v>
      </c>
    </row>
    <row r="175" spans="1:6" s="79" customFormat="1" x14ac:dyDescent="0.15">
      <c r="A175" s="78"/>
    </row>
    <row r="176" spans="1:6" s="89" customFormat="1" ht="28" x14ac:dyDescent="0.15">
      <c r="A176" s="130" t="s">
        <v>185</v>
      </c>
      <c r="B176" s="88" t="s">
        <v>186</v>
      </c>
      <c r="C176" s="61"/>
      <c r="D176" s="61"/>
      <c r="E176" s="61"/>
      <c r="F176" s="61"/>
    </row>
    <row r="177" spans="1:6" s="79" customFormat="1" x14ac:dyDescent="0.15">
      <c r="A177" s="78"/>
    </row>
    <row r="178" spans="1:6" s="89" customFormat="1" ht="28" x14ac:dyDescent="0.15">
      <c r="A178" s="113" t="s">
        <v>137</v>
      </c>
      <c r="B178" s="88" t="s">
        <v>86</v>
      </c>
      <c r="C178" s="61"/>
      <c r="D178" s="61"/>
      <c r="E178" s="61"/>
      <c r="F178" s="61"/>
    </row>
    <row r="180" spans="1:6" ht="14" x14ac:dyDescent="0.15">
      <c r="B180" s="73" t="s">
        <v>58</v>
      </c>
    </row>
    <row r="181" spans="1:6" ht="28" x14ac:dyDescent="0.15">
      <c r="B181" s="109" t="s">
        <v>144</v>
      </c>
      <c r="C181" s="110" t="s">
        <v>145</v>
      </c>
    </row>
    <row r="183" spans="1:6" ht="28" x14ac:dyDescent="0.15">
      <c r="B183" s="94" t="s">
        <v>139</v>
      </c>
    </row>
    <row r="184" spans="1:6" ht="14" x14ac:dyDescent="0.15">
      <c r="B184" s="77" t="s">
        <v>191</v>
      </c>
    </row>
    <row r="186" spans="1:6" s="79" customFormat="1" x14ac:dyDescent="0.15">
      <c r="A186" s="78"/>
    </row>
    <row r="187" spans="1:6" s="89" customFormat="1" ht="42" x14ac:dyDescent="0.15">
      <c r="A187" s="87" t="s">
        <v>131</v>
      </c>
      <c r="B187" s="88" t="s">
        <v>79</v>
      </c>
      <c r="C187" s="61"/>
      <c r="D187" s="61"/>
      <c r="E187" s="61"/>
      <c r="F187" s="61"/>
    </row>
    <row r="188" spans="1:6" s="79" customFormat="1" x14ac:dyDescent="0.15">
      <c r="A188" s="78"/>
    </row>
    <row r="189" spans="1:6" s="89" customFormat="1" ht="28" x14ac:dyDescent="0.15">
      <c r="A189" s="87" t="s">
        <v>132</v>
      </c>
      <c r="B189" s="88" t="s">
        <v>80</v>
      </c>
      <c r="C189" s="61"/>
      <c r="D189" s="61"/>
      <c r="E189" s="61"/>
      <c r="F189" s="61"/>
    </row>
    <row r="190" spans="1:6" s="79" customFormat="1" x14ac:dyDescent="0.15">
      <c r="A190" s="78"/>
    </row>
    <row r="191" spans="1:6" s="89" customFormat="1" ht="14" x14ac:dyDescent="0.15">
      <c r="A191" s="130" t="s">
        <v>138</v>
      </c>
      <c r="B191" s="88" t="s">
        <v>87</v>
      </c>
      <c r="C191" s="61"/>
      <c r="D191" s="61"/>
      <c r="E191" s="61"/>
      <c r="F191" s="61"/>
    </row>
    <row r="192" spans="1:6" s="79" customFormat="1" x14ac:dyDescent="0.15">
      <c r="A192" s="78"/>
    </row>
    <row r="193" spans="1:6" s="89" customFormat="1" ht="42" x14ac:dyDescent="0.15">
      <c r="A193" s="130" t="s">
        <v>188</v>
      </c>
      <c r="B193" s="88" t="s">
        <v>187</v>
      </c>
      <c r="C193" s="61"/>
      <c r="D193" s="61"/>
      <c r="E193" s="61"/>
      <c r="F193" s="61"/>
    </row>
    <row r="194" spans="1:6" s="81" customFormat="1" x14ac:dyDescent="0.15">
      <c r="A194" s="80"/>
    </row>
  </sheetData>
  <pageMargins left="0.7" right="0.7" top="0.75" bottom="0.75" header="0.3" footer="0.3"/>
  <pageSetup scale="10" fitToWidth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A&amp;S</vt:lpstr>
      <vt:lpstr>S&amp;DS Major 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Anthony Merino</cp:lastModifiedBy>
  <dcterms:created xsi:type="dcterms:W3CDTF">2026-04-25T07:09:17Z</dcterms:created>
  <dcterms:modified xsi:type="dcterms:W3CDTF">2026-04-25T07:09:17Z</dcterms:modified>
</cp:coreProperties>
</file>